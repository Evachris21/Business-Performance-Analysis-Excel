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d814006c8dbc9/Documents/BDM PROJECT OFFICIAL/"/>
    </mc:Choice>
  </mc:AlternateContent>
  <xr:revisionPtr revIDLastSave="166" documentId="8_{6951D45D-F24A-4000-9421-57A823265887}" xr6:coauthVersionLast="47" xr6:coauthVersionMax="47" xr10:uidLastSave="{B5F9DA0B-364E-4D8B-81E0-0F07EEA0648D}"/>
  <bookViews>
    <workbookView xWindow="-108" yWindow="-108" windowWidth="23256" windowHeight="12456" activeTab="3" xr2:uid="{FA312B34-8E5E-45C6-A083-6149D87606DA}"/>
  </bookViews>
  <sheets>
    <sheet name="Sample_Raw_Dataset" sheetId="6" r:id="rId1"/>
    <sheet name="Price_List" sheetId="7" r:id="rId2"/>
    <sheet name="Sample_Cleaned_Dataset" sheetId="1" r:id="rId3"/>
    <sheet name="Business_Statistics" sheetId="2" r:id="rId4"/>
    <sheet name="Dashboard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<sst xmlns="http://schemas.openxmlformats.org/spreadsheetml/2006/main" count="823" uniqueCount="149">
  <si>
    <t>DATE</t>
  </si>
  <si>
    <t>SERVICE</t>
  </si>
  <si>
    <t>AMOUNT_PAID</t>
  </si>
  <si>
    <t>CUSTOMER_TYPE</t>
  </si>
  <si>
    <t>CATEGORY</t>
  </si>
  <si>
    <t>MONTH-YEAR</t>
  </si>
  <si>
    <t>MONTHNUM</t>
  </si>
  <si>
    <t>MIN price</t>
  </si>
  <si>
    <t>MAX price</t>
  </si>
  <si>
    <t>Eyebrow Threading</t>
  </si>
  <si>
    <t>New</t>
  </si>
  <si>
    <t>Beauty service</t>
  </si>
  <si>
    <t>Jul-2024</t>
  </si>
  <si>
    <t>2024-07</t>
  </si>
  <si>
    <t>Within Range</t>
  </si>
  <si>
    <t>Repeat</t>
  </si>
  <si>
    <t>Baby Shower Makeup</t>
  </si>
  <si>
    <t>Fruit Facial</t>
  </si>
  <si>
    <t>Above Max</t>
  </si>
  <si>
    <t>Saree prepleat</t>
  </si>
  <si>
    <t>Below Min(Bargain)</t>
  </si>
  <si>
    <t>Bleach</t>
  </si>
  <si>
    <t>U cut</t>
  </si>
  <si>
    <t>Hair coloring</t>
  </si>
  <si>
    <t>Layer cut</t>
  </si>
  <si>
    <t>Cleanup</t>
  </si>
  <si>
    <t>Golden Facial</t>
  </si>
  <si>
    <t>Pricing_Behavior</t>
  </si>
  <si>
    <t>Revenue_Loss</t>
  </si>
  <si>
    <t>2024-2025 Beauty service</t>
  </si>
  <si>
    <t>2024-2025 beauty service</t>
  </si>
  <si>
    <t>Tailoring service</t>
  </si>
  <si>
    <t>BEAUTY SERVICE - ABC ANALYSIS</t>
  </si>
  <si>
    <t>TAILORING SERVICE - ABC ANALYSIS</t>
  </si>
  <si>
    <t>Service-Based Segmentation: New vs Repeat Customers (Beauty)</t>
  </si>
  <si>
    <t>Service-Based Segmentation: New vs Repeat Customers (Tailoring)</t>
  </si>
  <si>
    <t>Service-Wise Bargaining Count (Beauty)</t>
  </si>
  <si>
    <t>Service-Wise Bargaining Count (Tailoring)</t>
  </si>
  <si>
    <t>Total Revenue</t>
  </si>
  <si>
    <t>services</t>
  </si>
  <si>
    <t>Absolute Revenue</t>
  </si>
  <si>
    <t>% of Total revenue</t>
  </si>
  <si>
    <t>Cummulative %</t>
  </si>
  <si>
    <t>Services</t>
  </si>
  <si>
    <t>Revenue</t>
  </si>
  <si>
    <t>Cumulative</t>
  </si>
  <si>
    <t>ABC Category</t>
  </si>
  <si>
    <t>Service</t>
  </si>
  <si>
    <t>Category</t>
  </si>
  <si>
    <t>Grand Total</t>
  </si>
  <si>
    <t>price behavior</t>
  </si>
  <si>
    <t>Average Amount Paid</t>
  </si>
  <si>
    <t xml:space="preserve">Aari Blouse  </t>
  </si>
  <si>
    <t>A</t>
  </si>
  <si>
    <t>Alteration work</t>
  </si>
  <si>
    <t>Maxi</t>
  </si>
  <si>
    <t>Median Amount Paid</t>
  </si>
  <si>
    <t>Blouse</t>
  </si>
  <si>
    <t>EBS</t>
  </si>
  <si>
    <t>Saree Oram</t>
  </si>
  <si>
    <t>Minimum Amount Paid</t>
  </si>
  <si>
    <t>Bridal Blouse</t>
  </si>
  <si>
    <t>Color apply</t>
  </si>
  <si>
    <t>Maximum Amount Paid</t>
  </si>
  <si>
    <t xml:space="preserve">Chudidhar </t>
  </si>
  <si>
    <t>B</t>
  </si>
  <si>
    <t>Sleeve</t>
  </si>
  <si>
    <t>Fals Stitching</t>
  </si>
  <si>
    <t>Standard Deviation</t>
  </si>
  <si>
    <t>De-tan Facial</t>
  </si>
  <si>
    <t>Total Services Delivered</t>
  </si>
  <si>
    <t>Whitening Facial</t>
  </si>
  <si>
    <t>Pearl Facial</t>
  </si>
  <si>
    <t>Oram Stitching</t>
  </si>
  <si>
    <t>Unique Services Offered</t>
  </si>
  <si>
    <t>Uniform Stitching</t>
  </si>
  <si>
    <t>Straight cut</t>
  </si>
  <si>
    <t>Maxi Aari Work</t>
  </si>
  <si>
    <t>Simple Makeup</t>
  </si>
  <si>
    <t>Pant</t>
  </si>
  <si>
    <t>Feb - Jun 2025 Beauty service</t>
  </si>
  <si>
    <t>Bridal Makeup</t>
  </si>
  <si>
    <t>Machine Embroidery</t>
  </si>
  <si>
    <t>C</t>
  </si>
  <si>
    <t>Wine Facial</t>
  </si>
  <si>
    <t>Baby cut</t>
  </si>
  <si>
    <t>Basic cut</t>
  </si>
  <si>
    <t>Hair SPA</t>
  </si>
  <si>
    <t>Hand Wax</t>
  </si>
  <si>
    <t>Party Makeup</t>
  </si>
  <si>
    <t>Hair wash</t>
  </si>
  <si>
    <t>Head Massage</t>
  </si>
  <si>
    <t>Saree drape</t>
  </si>
  <si>
    <t>Diamond Facial</t>
  </si>
  <si>
    <t>Customer Type – Revenue Contribution(Beauty)</t>
  </si>
  <si>
    <t>Customer type</t>
  </si>
  <si>
    <t>% of Total</t>
  </si>
  <si>
    <t>Lice treatment</t>
  </si>
  <si>
    <t>Pricing Behavior - Beauty</t>
  </si>
  <si>
    <t>Price behavior (New vs repeat) Beauty</t>
  </si>
  <si>
    <t>Vitamin C Facial</t>
  </si>
  <si>
    <t>Monthly Trend analysis-Tailoring</t>
  </si>
  <si>
    <t>Face Wax</t>
  </si>
  <si>
    <t>Count of Pricing Behavior</t>
  </si>
  <si>
    <t>Bridal Facial</t>
  </si>
  <si>
    <t>Feb - Jun 2025 Tailoring service</t>
  </si>
  <si>
    <t>Month-year</t>
  </si>
  <si>
    <t>Feb-2025</t>
  </si>
  <si>
    <t>Smoothening</t>
  </si>
  <si>
    <t>Mar-2025</t>
  </si>
  <si>
    <t>Customer Type – Revenue Contribution(Tailoring)</t>
  </si>
  <si>
    <t>Apr-2025</t>
  </si>
  <si>
    <t>Under Arm Wax</t>
  </si>
  <si>
    <t>Green Tea Facial</t>
  </si>
  <si>
    <t>May-2025</t>
  </si>
  <si>
    <t>Jun-2025</t>
  </si>
  <si>
    <t>Butterfly cut</t>
  </si>
  <si>
    <t>Full Arms Wax</t>
  </si>
  <si>
    <t>Monthly Trend analysis-Beauty</t>
  </si>
  <si>
    <t>Blowdry</t>
  </si>
  <si>
    <t>Hair coloring full</t>
  </si>
  <si>
    <t>Customer Revenue by Category (New vs Repeat)</t>
  </si>
  <si>
    <t>Aug-2024</t>
  </si>
  <si>
    <t>Feather cut</t>
  </si>
  <si>
    <t>Pricing Behavior - Tailoring</t>
  </si>
  <si>
    <t>Pedicure</t>
  </si>
  <si>
    <t>Sep-2024</t>
  </si>
  <si>
    <t>Oct-2024</t>
  </si>
  <si>
    <t>Nov-2024</t>
  </si>
  <si>
    <t>Dec-2024</t>
  </si>
  <si>
    <t>Ear piercing</t>
  </si>
  <si>
    <t>Jan-2025</t>
  </si>
  <si>
    <t>Straightening</t>
  </si>
  <si>
    <t>Revenue Loss (Beauty and Tailoring)</t>
  </si>
  <si>
    <t>Sum of Revenue Loss</t>
  </si>
  <si>
    <t xml:space="preserve"> Golden facial facial</t>
  </si>
  <si>
    <t>layer cut</t>
  </si>
  <si>
    <t>fruit facial</t>
  </si>
  <si>
    <t>Baby shower Makeup</t>
  </si>
  <si>
    <t>CUSTOMER TYPE</t>
  </si>
  <si>
    <t>AMOUNT PAID</t>
  </si>
  <si>
    <t>Top</t>
  </si>
  <si>
    <t>Leg Wax Full</t>
  </si>
  <si>
    <t>Leg Wax Half</t>
  </si>
  <si>
    <t>MAX PRICE</t>
  </si>
  <si>
    <t>MIN PRICE</t>
  </si>
  <si>
    <t>BEAUTY SERVICE</t>
  </si>
  <si>
    <t>TAILORING SERVICE</t>
  </si>
  <si>
    <t>Combined Services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</si>
</sst>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[$₹-4009]\ #,##0.00;[$₹-4009]\ \-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0" fontId="0" fillId="0" borderId="0" xfId="0" applyNumberFormat="1"/>
    <xf numFmtId="10" fontId="0" fillId="0" borderId="1" xfId="0" applyNumberFormat="1" applyBorder="1"/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0" fontId="0" fillId="3" borderId="1" xfId="0" applyNumberFormat="1" applyFill="1" applyBorder="1"/>
    <xf numFmtId="0" fontId="1" fillId="2" borderId="1" xfId="0" applyFont="1" applyFill="1" applyBorder="1" applyAlignment="1">
      <alignment horizontal="left"/>
    </xf>
    <xf numFmtId="10" fontId="1" fillId="2" borderId="1" xfId="0" applyNumberFormat="1" applyFont="1" applyFill="1" applyBorder="1"/>
    <xf numFmtId="165" fontId="1" fillId="2" borderId="1" xfId="0" applyNumberFormat="1" applyFon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 applyAlignment="1">
      <alignment horizontal="left" indent="1"/>
    </xf>
    <xf numFmtId="0" fontId="1" fillId="2" borderId="0" xfId="0" applyFont="1" applyFill="1" applyAlignment="1">
      <alignment horizontal="left"/>
    </xf>
    <xf numFmtId="166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1" fillId="2" borderId="4" xfId="0" applyFont="1" applyFill="1" applyBorder="1"/>
    <xf numFmtId="0" fontId="0" fillId="3" borderId="4" xfId="0" applyFill="1" applyBorder="1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5" xfId="0" applyBorder="1"/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 - Tailoring ( New Vs Repeat)</a:t>
            </a:r>
            <a:endParaRPr lang="en-IN"/>
          </a:p>
        </c:rich>
      </c:tx>
      <c:layout>
        <c:manualLayout>
          <c:xMode val="edge"/>
          <c:yMode val="edge"/>
          <c:x val="0.1555538422762871"/>
          <c:y val="2.355555308253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634259259259263"/>
          <c:w val="0.84396062992125986"/>
          <c:h val="0.51681284631087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[1]Calculations!$U$21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[1]Calculations!$T$22:$T$26</c:f>
              <c:strCache>
                <c:ptCount val="5"/>
                <c:pt idx="0">
                  <c:v>Feb-2025</c:v>
                </c:pt>
                <c:pt idx="1">
                  <c:v>Mar-2025</c:v>
                </c:pt>
                <c:pt idx="2">
                  <c:v>Apr-2025</c:v>
                </c:pt>
                <c:pt idx="3">
                  <c:v>May-2025</c:v>
                </c:pt>
                <c:pt idx="4">
                  <c:v>Jun-2025</c:v>
                </c:pt>
              </c:strCache>
            </c:strRef>
          </c:cat>
          <c:val>
            <c:numRef>
              <c:f>[1]Calculations!$U$22:$U$26</c:f>
              <c:numCache>
                <c:formatCode>General</c:formatCode>
                <c:ptCount val="5"/>
                <c:pt idx="0">
                  <c:v>25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45AF-AC3C-1D7846662F11}"/>
            </c:ext>
          </c:extLst>
        </c:ser>
        <c:ser>
          <c:idx val="1"/>
          <c:order val="1"/>
          <c:tx>
            <c:strRef>
              <c:f>[1]Calculations!$V$21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[1]Calculations!$T$22:$T$26</c:f>
              <c:strCache>
                <c:ptCount val="5"/>
                <c:pt idx="0">
                  <c:v>Feb-2025</c:v>
                </c:pt>
                <c:pt idx="1">
                  <c:v>Mar-2025</c:v>
                </c:pt>
                <c:pt idx="2">
                  <c:v>Apr-2025</c:v>
                </c:pt>
                <c:pt idx="3">
                  <c:v>May-2025</c:v>
                </c:pt>
                <c:pt idx="4">
                  <c:v>Jun-2025</c:v>
                </c:pt>
              </c:strCache>
            </c:strRef>
          </c:cat>
          <c:val>
            <c:numRef>
              <c:f>[1]Calculations!$V$22:$V$26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F-45AF-AC3C-1D784666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84719"/>
        <c:axId val="128782799"/>
      </c:barChart>
      <c:catAx>
        <c:axId val="12878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 -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2799"/>
        <c:crosses val="autoZero"/>
        <c:auto val="1"/>
        <c:lblAlgn val="ctr"/>
        <c:lblOffset val="100"/>
        <c:noMultiLvlLbl val="0"/>
      </c:catAx>
      <c:valAx>
        <c:axId val="12878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 Analysis - Beauty (New vs Repeat)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[1]Calculations!$U$29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[1]Calculations!$T$30:$T$41</c:f>
              <c:strCache>
                <c:ptCount val="12"/>
                <c:pt idx="0">
                  <c:v>Jul-2024</c:v>
                </c:pt>
                <c:pt idx="1">
                  <c:v>Aug-2024</c:v>
                </c:pt>
                <c:pt idx="2">
                  <c:v>Sep-2024</c:v>
                </c:pt>
                <c:pt idx="3">
                  <c:v>Oct-2024</c:v>
                </c:pt>
                <c:pt idx="4">
                  <c:v>Nov-2024</c:v>
                </c:pt>
                <c:pt idx="5">
                  <c:v>Dec-2024</c:v>
                </c:pt>
                <c:pt idx="6">
                  <c:v>Jan-2025</c:v>
                </c:pt>
                <c:pt idx="7">
                  <c:v>Feb-2025</c:v>
                </c:pt>
                <c:pt idx="8">
                  <c:v>Mar-2025</c:v>
                </c:pt>
                <c:pt idx="9">
                  <c:v>Apr-2025</c:v>
                </c:pt>
                <c:pt idx="10">
                  <c:v>May-2025</c:v>
                </c:pt>
                <c:pt idx="11">
                  <c:v>Jun-2025</c:v>
                </c:pt>
              </c:strCache>
            </c:strRef>
          </c:cat>
          <c:val>
            <c:numRef>
              <c:f>[1]Calculations!$U$30:$U$41</c:f>
              <c:numCache>
                <c:formatCode>General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65D-90AD-88FF2F27775B}"/>
            </c:ext>
          </c:extLst>
        </c:ser>
        <c:ser>
          <c:idx val="1"/>
          <c:order val="1"/>
          <c:tx>
            <c:strRef>
              <c:f>[1]Calculations!$V$29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[1]Calculations!$T$30:$T$41</c:f>
              <c:strCache>
                <c:ptCount val="12"/>
                <c:pt idx="0">
                  <c:v>Jul-2024</c:v>
                </c:pt>
                <c:pt idx="1">
                  <c:v>Aug-2024</c:v>
                </c:pt>
                <c:pt idx="2">
                  <c:v>Sep-2024</c:v>
                </c:pt>
                <c:pt idx="3">
                  <c:v>Oct-2024</c:v>
                </c:pt>
                <c:pt idx="4">
                  <c:v>Nov-2024</c:v>
                </c:pt>
                <c:pt idx="5">
                  <c:v>Dec-2024</c:v>
                </c:pt>
                <c:pt idx="6">
                  <c:v>Jan-2025</c:v>
                </c:pt>
                <c:pt idx="7">
                  <c:v>Feb-2025</c:v>
                </c:pt>
                <c:pt idx="8">
                  <c:v>Mar-2025</c:v>
                </c:pt>
                <c:pt idx="9">
                  <c:v>Apr-2025</c:v>
                </c:pt>
                <c:pt idx="10">
                  <c:v>May-2025</c:v>
                </c:pt>
                <c:pt idx="11">
                  <c:v>Jun-2025</c:v>
                </c:pt>
              </c:strCache>
            </c:strRef>
          </c:cat>
          <c:val>
            <c:numRef>
              <c:f>[1]Calculations!$V$30:$V$41</c:f>
              <c:numCache>
                <c:formatCode>General</c:formatCode>
                <c:ptCount val="12"/>
                <c:pt idx="0">
                  <c:v>32</c:v>
                </c:pt>
                <c:pt idx="1">
                  <c:v>48</c:v>
                </c:pt>
                <c:pt idx="2">
                  <c:v>38</c:v>
                </c:pt>
                <c:pt idx="3">
                  <c:v>36</c:v>
                </c:pt>
                <c:pt idx="4">
                  <c:v>32</c:v>
                </c:pt>
                <c:pt idx="5">
                  <c:v>26</c:v>
                </c:pt>
                <c:pt idx="6">
                  <c:v>51</c:v>
                </c:pt>
                <c:pt idx="7">
                  <c:v>33</c:v>
                </c:pt>
                <c:pt idx="8">
                  <c:v>26</c:v>
                </c:pt>
                <c:pt idx="9">
                  <c:v>47</c:v>
                </c:pt>
                <c:pt idx="10">
                  <c:v>26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65D-90AD-88FF2F277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196655"/>
        <c:axId val="1579204335"/>
      </c:barChart>
      <c:catAx>
        <c:axId val="157919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-Year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04335"/>
        <c:crosses val="autoZero"/>
        <c:auto val="1"/>
        <c:lblAlgn val="ctr"/>
        <c:lblOffset val="100"/>
        <c:noMultiLvlLbl val="0"/>
      </c:catAx>
      <c:valAx>
        <c:axId val="15792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9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Revenue by Category (New vs Repeat)</a:t>
            </a:r>
            <a:endParaRPr lang="en-IN"/>
          </a:p>
        </c:rich>
      </c:tx>
      <c:layout>
        <c:manualLayout>
          <c:xMode val="edge"/>
          <c:yMode val="edge"/>
          <c:x val="0.10780907318457676"/>
          <c:y val="2.2550348536056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[1]Calculations!$I$32</c:f>
              <c:strCache>
                <c:ptCount val="1"/>
                <c:pt idx="0">
                  <c:v>Beauty 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[1]Calculations!$J$31:$K$31</c:f>
              <c:strCache>
                <c:ptCount val="2"/>
                <c:pt idx="0">
                  <c:v>New</c:v>
                </c:pt>
                <c:pt idx="1">
                  <c:v>Repeat</c:v>
                </c:pt>
              </c:strCache>
            </c:strRef>
          </c:cat>
          <c:val>
            <c:numRef>
              <c:f>[1]Calculations!$J$32:$K$32</c:f>
              <c:numCache>
                <c:formatCode>General</c:formatCode>
                <c:ptCount val="2"/>
                <c:pt idx="0">
                  <c:v>34730</c:v>
                </c:pt>
                <c:pt idx="1">
                  <c:v>180050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7-4936-8A82-226D2178F0BE}"/>
            </c:ext>
          </c:extLst>
        </c:ser>
        <c:ser>
          <c:idx val="1"/>
          <c:order val="1"/>
          <c:tx>
            <c:strRef>
              <c:f>[1]Calculations!$I$33</c:f>
              <c:strCache>
                <c:ptCount val="1"/>
                <c:pt idx="0">
                  <c:v>Tailoring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[1]Calculations!$J$31:$K$31</c:f>
              <c:strCache>
                <c:ptCount val="2"/>
                <c:pt idx="0">
                  <c:v>New</c:v>
                </c:pt>
                <c:pt idx="1">
                  <c:v>Repeat</c:v>
                </c:pt>
              </c:strCache>
            </c:strRef>
          </c:cat>
          <c:val>
            <c:numRef>
              <c:f>[1]Calculations!$J$33:$K$33</c:f>
              <c:numCache>
                <c:formatCode>General</c:formatCode>
                <c:ptCount val="2"/>
                <c:pt idx="0">
                  <c:v>23475</c:v>
                </c:pt>
                <c:pt idx="1">
                  <c:v>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7-4936-8A82-226D2178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882207"/>
        <c:axId val="1577879807"/>
      </c:barChart>
      <c:catAx>
        <c:axId val="157788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79807"/>
        <c:crosses val="autoZero"/>
        <c:auto val="1"/>
        <c:lblAlgn val="ctr"/>
        <c:lblOffset val="100"/>
        <c:noMultiLvlLbl val="0"/>
      </c:catAx>
      <c:valAx>
        <c:axId val="15778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Revenue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Beauty Services by New vs Repeat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[1]Calculations!$AA$2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[1]Calculations!$Z$3:$Z$7</c:f>
              <c:strCache>
                <c:ptCount val="5"/>
                <c:pt idx="0">
                  <c:v>Eyebrow Threading</c:v>
                </c:pt>
                <c:pt idx="1">
                  <c:v>EBS</c:v>
                </c:pt>
                <c:pt idx="2">
                  <c:v>Saree prepleat</c:v>
                </c:pt>
                <c:pt idx="3">
                  <c:v>Golden Facial</c:v>
                </c:pt>
                <c:pt idx="4">
                  <c:v>Hair coloring</c:v>
                </c:pt>
              </c:strCache>
            </c:strRef>
          </c:cat>
          <c:val>
            <c:numRef>
              <c:f>[1]Calculations!$AA$3:$AA$7</c:f>
              <c:numCache>
                <c:formatCode>General</c:formatCode>
                <c:ptCount val="5"/>
                <c:pt idx="0">
                  <c:v>48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1-4485-AC35-03330C689DF2}"/>
            </c:ext>
          </c:extLst>
        </c:ser>
        <c:ser>
          <c:idx val="1"/>
          <c:order val="1"/>
          <c:tx>
            <c:strRef>
              <c:f>[1]Calculations!$AB$2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[1]Calculations!$Z$3:$Z$7</c:f>
              <c:strCache>
                <c:ptCount val="5"/>
                <c:pt idx="0">
                  <c:v>Eyebrow Threading</c:v>
                </c:pt>
                <c:pt idx="1">
                  <c:v>EBS</c:v>
                </c:pt>
                <c:pt idx="2">
                  <c:v>Saree prepleat</c:v>
                </c:pt>
                <c:pt idx="3">
                  <c:v>Golden Facial</c:v>
                </c:pt>
                <c:pt idx="4">
                  <c:v>Hair coloring</c:v>
                </c:pt>
              </c:strCache>
            </c:strRef>
          </c:cat>
          <c:val>
            <c:numRef>
              <c:f>[1]Calculations!$AB$3:$AB$7</c:f>
              <c:numCache>
                <c:formatCode>General</c:formatCode>
                <c:ptCount val="5"/>
                <c:pt idx="0">
                  <c:v>151</c:v>
                </c:pt>
                <c:pt idx="1">
                  <c:v>41</c:v>
                </c:pt>
                <c:pt idx="2">
                  <c:v>13</c:v>
                </c:pt>
                <c:pt idx="3">
                  <c:v>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1-4485-AC35-03330C689D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5123503"/>
        <c:axId val="275133583"/>
      </c:barChart>
      <c:catAx>
        <c:axId val="27512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Beauty</a:t>
                </a:r>
                <a:r>
                  <a:rPr lang="en-IN" baseline="0"/>
                  <a:t> services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33583"/>
        <c:crosses val="autoZero"/>
        <c:auto val="1"/>
        <c:lblAlgn val="ctr"/>
        <c:lblOffset val="100"/>
        <c:noMultiLvlLbl val="0"/>
      </c:catAx>
      <c:valAx>
        <c:axId val="2751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services availed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Tailoring Services by New vs Repeat Customers</a:t>
            </a:r>
            <a:endParaRPr lang="en-IN"/>
          </a:p>
        </c:rich>
      </c:tx>
      <c:layout>
        <c:manualLayout>
          <c:xMode val="edge"/>
          <c:yMode val="edge"/>
          <c:x val="0.1747084426946631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[1]Calculations!$AF$2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[1]Calculations!$AE$3:$AE$7</c:f>
              <c:strCache>
                <c:ptCount val="5"/>
                <c:pt idx="0">
                  <c:v>Alteration work</c:v>
                </c:pt>
                <c:pt idx="1">
                  <c:v>Saree Oram</c:v>
                </c:pt>
                <c:pt idx="2">
                  <c:v>Blouse</c:v>
                </c:pt>
                <c:pt idx="3">
                  <c:v>Sleeve</c:v>
                </c:pt>
                <c:pt idx="4">
                  <c:v>Aari Blouse  </c:v>
                </c:pt>
              </c:strCache>
            </c:strRef>
          </c:cat>
          <c:val>
            <c:numRef>
              <c:f>[1]Calculations!$AF$3:$AF$7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9-45E2-91CF-1696259E2571}"/>
            </c:ext>
          </c:extLst>
        </c:ser>
        <c:ser>
          <c:idx val="1"/>
          <c:order val="1"/>
          <c:tx>
            <c:strRef>
              <c:f>[1]Calculations!$AG$2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[1]Calculations!$AE$3:$AE$7</c:f>
              <c:strCache>
                <c:ptCount val="5"/>
                <c:pt idx="0">
                  <c:v>Alteration work</c:v>
                </c:pt>
                <c:pt idx="1">
                  <c:v>Saree Oram</c:v>
                </c:pt>
                <c:pt idx="2">
                  <c:v>Blouse</c:v>
                </c:pt>
                <c:pt idx="3">
                  <c:v>Sleeve</c:v>
                </c:pt>
                <c:pt idx="4">
                  <c:v>Aari Blouse  </c:v>
                </c:pt>
              </c:strCache>
            </c:strRef>
          </c:cat>
          <c:val>
            <c:numRef>
              <c:f>[1]Calculations!$AG$3:$AG$7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9-45E2-91CF-1696259E2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770383"/>
        <c:axId val="281773743"/>
      </c:barChart>
      <c:catAx>
        <c:axId val="2817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Tailoring</a:t>
                </a:r>
                <a:r>
                  <a:rPr lang="en-IN" baseline="0"/>
                  <a:t> Service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73743"/>
        <c:crosses val="autoZero"/>
        <c:auto val="1"/>
        <c:lblAlgn val="ctr"/>
        <c:lblOffset val="100"/>
        <c:noMultiLvlLbl val="0"/>
      </c:catAx>
      <c:valAx>
        <c:axId val="28177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services avalied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7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Bargained services ( Beauty)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[1]Calculations!$AL$2</c:f>
              <c:strCache>
                <c:ptCount val="1"/>
                <c:pt idx="0">
                  <c:v>Below Min(Bargain)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[1]Calculations!$AJ$3:$AJ$12</c:f>
              <c:strCache>
                <c:ptCount val="10"/>
                <c:pt idx="0">
                  <c:v>Eyebrow Threading</c:v>
                </c:pt>
                <c:pt idx="1">
                  <c:v>Hair coloring</c:v>
                </c:pt>
                <c:pt idx="2">
                  <c:v>Color apply</c:v>
                </c:pt>
                <c:pt idx="3">
                  <c:v>Layer cut</c:v>
                </c:pt>
                <c:pt idx="4">
                  <c:v>De-tan Facial</c:v>
                </c:pt>
                <c:pt idx="5">
                  <c:v>Cleanup</c:v>
                </c:pt>
                <c:pt idx="6">
                  <c:v>Golden Facial</c:v>
                </c:pt>
                <c:pt idx="7">
                  <c:v>Bleach</c:v>
                </c:pt>
                <c:pt idx="8">
                  <c:v>Wine Facial</c:v>
                </c:pt>
                <c:pt idx="9">
                  <c:v>Fruit Facial</c:v>
                </c:pt>
              </c:strCache>
            </c:strRef>
          </c:cat>
          <c:val>
            <c:numRef>
              <c:f>[1]Calculations!$AL$3:$AL$12</c:f>
              <c:numCache>
                <c:formatCode>General</c:formatCode>
                <c:ptCount val="10"/>
                <c:pt idx="0">
                  <c:v>79</c:v>
                </c:pt>
                <c:pt idx="1">
                  <c:v>29</c:v>
                </c:pt>
                <c:pt idx="2">
                  <c:v>12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B-4FF0-99AD-2B1CCC3DB6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233631"/>
        <c:axId val="200238431"/>
      </c:barChart>
      <c:catAx>
        <c:axId val="20023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8431"/>
        <c:crosses val="autoZero"/>
        <c:auto val="1"/>
        <c:lblAlgn val="ctr"/>
        <c:lblOffset val="100"/>
        <c:noMultiLvlLbl val="0"/>
      </c:catAx>
      <c:valAx>
        <c:axId val="20023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bargained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Loss (Beauty and Tailoring)</a:t>
            </a:r>
          </a:p>
        </c:rich>
      </c:tx>
      <c:layout>
        <c:manualLayout>
          <c:xMode val="edge"/>
          <c:yMode val="edge"/>
          <c:x val="0.24773600174978128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Beauty service</c:v>
              </c:pt>
              <c:pt idx="1">
                <c:v>Tailoring service</c:v>
              </c:pt>
            </c:strLit>
          </c:cat>
          <c:val>
            <c:numLit>
              <c:formatCode>General</c:formatCode>
              <c:ptCount val="2"/>
              <c:pt idx="0">
                <c:v>32070</c:v>
              </c:pt>
              <c:pt idx="1">
                <c:v>280</c:v>
              </c:pt>
            </c:numLit>
          </c:val>
          <c:extLst>
            <c:ext xmlns:c16="http://schemas.microsoft.com/office/drawing/2014/chart" uri="{C3380CC4-5D6E-409C-BE32-E72D297353CC}">
              <c16:uniqueId val="{00000000-37DA-46F0-AC6B-1E8C698AD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0845487"/>
        <c:axId val="470855567"/>
      </c:barChart>
      <c:catAx>
        <c:axId val="470845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55567"/>
        <c:crosses val="autoZero"/>
        <c:auto val="1"/>
        <c:lblAlgn val="ctr"/>
        <c:lblOffset val="100"/>
        <c:noMultiLvlLbl val="0"/>
      </c:catAx>
      <c:valAx>
        <c:axId val="47085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4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Analysis – Beauty Services (2024–2025)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[1]Calculations!$E$2</c:f>
              <c:strCache>
                <c:ptCount val="1"/>
                <c:pt idx="0">
                  <c:v>Absolute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[1]Calculations!$D$3:$D$45</c:f>
              <c:strCache>
                <c:ptCount val="43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  <c:pt idx="19">
                  <c:v>Simple Makeup</c:v>
                </c:pt>
                <c:pt idx="20">
                  <c:v>Party Makeup</c:v>
                </c:pt>
                <c:pt idx="21">
                  <c:v>Hair SPA</c:v>
                </c:pt>
                <c:pt idx="22">
                  <c:v>Green Tea Facial</c:v>
                </c:pt>
                <c:pt idx="23">
                  <c:v>Saree drape</c:v>
                </c:pt>
                <c:pt idx="24">
                  <c:v>Bridal Facial</c:v>
                </c:pt>
                <c:pt idx="25">
                  <c:v>U cut</c:v>
                </c:pt>
                <c:pt idx="26">
                  <c:v>Head Massage</c:v>
                </c:pt>
                <c:pt idx="27">
                  <c:v>Hair coloring full</c:v>
                </c:pt>
                <c:pt idx="28">
                  <c:v>Lice treatment</c:v>
                </c:pt>
                <c:pt idx="29">
                  <c:v>Basic cut</c:v>
                </c:pt>
                <c:pt idx="30">
                  <c:v>Straight cut</c:v>
                </c:pt>
                <c:pt idx="31">
                  <c:v>Hand Wax</c:v>
                </c:pt>
                <c:pt idx="32">
                  <c:v>Face Wax</c:v>
                </c:pt>
                <c:pt idx="33">
                  <c:v>Butterfly cut</c:v>
                </c:pt>
                <c:pt idx="34">
                  <c:v>Pedicure</c:v>
                </c:pt>
                <c:pt idx="35">
                  <c:v>Straightening</c:v>
                </c:pt>
                <c:pt idx="36">
                  <c:v>Feather cut</c:v>
                </c:pt>
                <c:pt idx="37">
                  <c:v>Baby cut</c:v>
                </c:pt>
                <c:pt idx="38">
                  <c:v>Full Arms Wax</c:v>
                </c:pt>
                <c:pt idx="39">
                  <c:v>Smoothening</c:v>
                </c:pt>
                <c:pt idx="40">
                  <c:v>Ear piercing</c:v>
                </c:pt>
                <c:pt idx="41">
                  <c:v>Under Arm Wax</c:v>
                </c:pt>
                <c:pt idx="42">
                  <c:v>Blowdry</c:v>
                </c:pt>
              </c:strCache>
            </c:strRef>
          </c:cat>
          <c:val>
            <c:numRef>
              <c:f>[1]Calculations!$E$3:$E$45</c:f>
              <c:numCache>
                <c:formatCode>General</c:formatCode>
                <c:ptCount val="43"/>
                <c:pt idx="0">
                  <c:v>40350</c:v>
                </c:pt>
                <c:pt idx="1">
                  <c:v>13820</c:v>
                </c:pt>
                <c:pt idx="2">
                  <c:v>12130</c:v>
                </c:pt>
                <c:pt idx="3">
                  <c:v>9760</c:v>
                </c:pt>
                <c:pt idx="4">
                  <c:v>9500</c:v>
                </c:pt>
                <c:pt idx="5">
                  <c:v>8900</c:v>
                </c:pt>
                <c:pt idx="6">
                  <c:v>7500.0000000000009</c:v>
                </c:pt>
                <c:pt idx="7">
                  <c:v>7050</c:v>
                </c:pt>
                <c:pt idx="8">
                  <c:v>7000.0000000000009</c:v>
                </c:pt>
                <c:pt idx="9">
                  <c:v>6989.9999999999991</c:v>
                </c:pt>
                <c:pt idx="10">
                  <c:v>6829.9999999999991</c:v>
                </c:pt>
                <c:pt idx="11">
                  <c:v>6450</c:v>
                </c:pt>
                <c:pt idx="12">
                  <c:v>5750</c:v>
                </c:pt>
                <c:pt idx="13">
                  <c:v>5300</c:v>
                </c:pt>
                <c:pt idx="14">
                  <c:v>5270</c:v>
                </c:pt>
                <c:pt idx="15">
                  <c:v>5160</c:v>
                </c:pt>
                <c:pt idx="16">
                  <c:v>5000</c:v>
                </c:pt>
                <c:pt idx="17">
                  <c:v>4200</c:v>
                </c:pt>
                <c:pt idx="18">
                  <c:v>4180</c:v>
                </c:pt>
                <c:pt idx="19">
                  <c:v>3900.0000000000005</c:v>
                </c:pt>
                <c:pt idx="20">
                  <c:v>3600</c:v>
                </c:pt>
                <c:pt idx="21">
                  <c:v>3569.9999999999995</c:v>
                </c:pt>
                <c:pt idx="22">
                  <c:v>3200</c:v>
                </c:pt>
                <c:pt idx="23">
                  <c:v>2900</c:v>
                </c:pt>
                <c:pt idx="24">
                  <c:v>2760</c:v>
                </c:pt>
                <c:pt idx="25">
                  <c:v>2710</c:v>
                </c:pt>
                <c:pt idx="26">
                  <c:v>2670</c:v>
                </c:pt>
                <c:pt idx="27">
                  <c:v>2600</c:v>
                </c:pt>
                <c:pt idx="28">
                  <c:v>2000</c:v>
                </c:pt>
                <c:pt idx="29">
                  <c:v>1800</c:v>
                </c:pt>
                <c:pt idx="30">
                  <c:v>1770</c:v>
                </c:pt>
                <c:pt idx="31">
                  <c:v>1750.0000000000002</c:v>
                </c:pt>
                <c:pt idx="32">
                  <c:v>1460</c:v>
                </c:pt>
                <c:pt idx="33">
                  <c:v>1160</c:v>
                </c:pt>
                <c:pt idx="34">
                  <c:v>1100</c:v>
                </c:pt>
                <c:pt idx="35">
                  <c:v>900</c:v>
                </c:pt>
                <c:pt idx="36">
                  <c:v>800</c:v>
                </c:pt>
                <c:pt idx="37">
                  <c:v>670</c:v>
                </c:pt>
                <c:pt idx="38">
                  <c:v>650</c:v>
                </c:pt>
                <c:pt idx="39">
                  <c:v>620</c:v>
                </c:pt>
                <c:pt idx="40">
                  <c:v>600</c:v>
                </c:pt>
                <c:pt idx="41">
                  <c:v>250</c:v>
                </c:pt>
                <c:pt idx="4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4F0-85D9-E17766F5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699456"/>
        <c:axId val="1092700416"/>
      </c:barChart>
      <c:lineChart>
        <c:grouping val="standard"/>
        <c:varyColors val="0"/>
        <c:ser>
          <c:idx val="1"/>
          <c:order val="1"/>
          <c:tx>
            <c:strRef>
              <c:f>[1]Calculations!$G$2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[1]Calculations!$D$3:$D$45</c:f>
              <c:strCache>
                <c:ptCount val="43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  <c:pt idx="19">
                  <c:v>Simple Makeup</c:v>
                </c:pt>
                <c:pt idx="20">
                  <c:v>Party Makeup</c:v>
                </c:pt>
                <c:pt idx="21">
                  <c:v>Hair SPA</c:v>
                </c:pt>
                <c:pt idx="22">
                  <c:v>Green Tea Facial</c:v>
                </c:pt>
                <c:pt idx="23">
                  <c:v>Saree drape</c:v>
                </c:pt>
                <c:pt idx="24">
                  <c:v>Bridal Facial</c:v>
                </c:pt>
                <c:pt idx="25">
                  <c:v>U cut</c:v>
                </c:pt>
                <c:pt idx="26">
                  <c:v>Head Massage</c:v>
                </c:pt>
                <c:pt idx="27">
                  <c:v>Hair coloring full</c:v>
                </c:pt>
                <c:pt idx="28">
                  <c:v>Lice treatment</c:v>
                </c:pt>
                <c:pt idx="29">
                  <c:v>Basic cut</c:v>
                </c:pt>
                <c:pt idx="30">
                  <c:v>Straight cut</c:v>
                </c:pt>
                <c:pt idx="31">
                  <c:v>Hand Wax</c:v>
                </c:pt>
                <c:pt idx="32">
                  <c:v>Face Wax</c:v>
                </c:pt>
                <c:pt idx="33">
                  <c:v>Butterfly cut</c:v>
                </c:pt>
                <c:pt idx="34">
                  <c:v>Pedicure</c:v>
                </c:pt>
                <c:pt idx="35">
                  <c:v>Straightening</c:v>
                </c:pt>
                <c:pt idx="36">
                  <c:v>Feather cut</c:v>
                </c:pt>
                <c:pt idx="37">
                  <c:v>Baby cut</c:v>
                </c:pt>
                <c:pt idx="38">
                  <c:v>Full Arms Wax</c:v>
                </c:pt>
                <c:pt idx="39">
                  <c:v>Smoothening</c:v>
                </c:pt>
                <c:pt idx="40">
                  <c:v>Ear piercing</c:v>
                </c:pt>
                <c:pt idx="41">
                  <c:v>Under Arm Wax</c:v>
                </c:pt>
                <c:pt idx="42">
                  <c:v>Blowdry</c:v>
                </c:pt>
              </c:strCache>
            </c:strRef>
          </c:cat>
          <c:val>
            <c:numRef>
              <c:f>[1]Calculations!$G$3:$G$45</c:f>
              <c:numCache>
                <c:formatCode>General</c:formatCode>
                <c:ptCount val="43"/>
                <c:pt idx="0">
                  <c:v>0.18786665425086135</c:v>
                </c:pt>
                <c:pt idx="1">
                  <c:v>0.25221156532265576</c:v>
                </c:pt>
                <c:pt idx="2">
                  <c:v>0.30868795977279079</c:v>
                </c:pt>
                <c:pt idx="3">
                  <c:v>0.35412980724462245</c:v>
                </c:pt>
                <c:pt idx="4">
                  <c:v>0.39836111369773725</c:v>
                </c:pt>
                <c:pt idx="5">
                  <c:v>0.43979886395381323</c:v>
                </c:pt>
                <c:pt idx="6">
                  <c:v>0.47471831641679862</c:v>
                </c:pt>
                <c:pt idx="7">
                  <c:v>0.50754260173200483</c:v>
                </c:pt>
                <c:pt idx="8">
                  <c:v>0.54013409069745788</c:v>
                </c:pt>
                <c:pt idx="9">
                  <c:v>0.57267902039296026</c:v>
                </c:pt>
                <c:pt idx="10">
                  <c:v>0.60447900176925229</c:v>
                </c:pt>
                <c:pt idx="11">
                  <c:v>0.63450973088741969</c:v>
                </c:pt>
                <c:pt idx="12">
                  <c:v>0.66128131110904187</c:v>
                </c:pt>
                <c:pt idx="13">
                  <c:v>0.68595772418288492</c:v>
                </c:pt>
                <c:pt idx="14">
                  <c:v>0.71049445944687595</c:v>
                </c:pt>
                <c:pt idx="15">
                  <c:v>0.73451904274140989</c:v>
                </c:pt>
                <c:pt idx="16">
                  <c:v>0.75779867771673348</c:v>
                </c:pt>
                <c:pt idx="17">
                  <c:v>0.77735357109600534</c:v>
                </c:pt>
                <c:pt idx="18">
                  <c:v>0.79681534593537584</c:v>
                </c:pt>
                <c:pt idx="19">
                  <c:v>0.81497346121612824</c:v>
                </c:pt>
                <c:pt idx="20">
                  <c:v>0.83173479839836117</c:v>
                </c:pt>
                <c:pt idx="21">
                  <c:v>0.8483564577707422</c:v>
                </c:pt>
                <c:pt idx="22">
                  <c:v>0.86325542415494927</c:v>
                </c:pt>
                <c:pt idx="23">
                  <c:v>0.87675761244063699</c:v>
                </c:pt>
                <c:pt idx="24">
                  <c:v>0.8896079709470156</c:v>
                </c:pt>
                <c:pt idx="25">
                  <c:v>0.90222553310364095</c:v>
                </c:pt>
                <c:pt idx="26">
                  <c:v>0.91465685818046372</c:v>
                </c:pt>
                <c:pt idx="27">
                  <c:v>0.92676226836763198</c:v>
                </c:pt>
                <c:pt idx="28">
                  <c:v>0.93607412235776144</c:v>
                </c:pt>
                <c:pt idx="29">
                  <c:v>0.94445479094887796</c:v>
                </c:pt>
                <c:pt idx="30">
                  <c:v>0.95269578173014247</c:v>
                </c:pt>
                <c:pt idx="31">
                  <c:v>0.96084365397150573</c:v>
                </c:pt>
                <c:pt idx="32">
                  <c:v>0.96764130738430021</c:v>
                </c:pt>
                <c:pt idx="33">
                  <c:v>0.97304218269857523</c:v>
                </c:pt>
                <c:pt idx="34">
                  <c:v>0.97816370239314643</c:v>
                </c:pt>
                <c:pt idx="35">
                  <c:v>0.98235403668870469</c:v>
                </c:pt>
                <c:pt idx="36">
                  <c:v>0.98607877828475643</c:v>
                </c:pt>
                <c:pt idx="37">
                  <c:v>0.98919824937144984</c:v>
                </c:pt>
                <c:pt idx="38">
                  <c:v>0.99222460191824191</c:v>
                </c:pt>
                <c:pt idx="39">
                  <c:v>0.99511127665518206</c:v>
                </c:pt>
                <c:pt idx="40">
                  <c:v>0.99790483285222087</c:v>
                </c:pt>
                <c:pt idx="41">
                  <c:v>0.99906881460098707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4F-44F0-85D9-E17766F5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736896"/>
        <c:axId val="1092730176"/>
      </c:lineChart>
      <c:catAx>
        <c:axId val="109269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00416"/>
        <c:crosses val="autoZero"/>
        <c:auto val="1"/>
        <c:lblAlgn val="ctr"/>
        <c:lblOffset val="100"/>
        <c:noMultiLvlLbl val="0"/>
      </c:catAx>
      <c:valAx>
        <c:axId val="10927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Absolute Revenue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99456"/>
        <c:crosses val="autoZero"/>
        <c:crossBetween val="between"/>
      </c:valAx>
      <c:valAx>
        <c:axId val="1092730176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Cumulative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6896"/>
        <c:crosses val="max"/>
        <c:crossBetween val="between"/>
      </c:valAx>
      <c:catAx>
        <c:axId val="1092736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730176"/>
        <c:crossesAt val="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Pareto Analysis – Tailoring Services (FEB - JUNE)2025</a:t>
            </a:r>
          </a:p>
        </c:rich>
      </c:tx>
      <c:layout>
        <c:manualLayout>
          <c:xMode val="edge"/>
          <c:yMode val="edge"/>
          <c:x val="0.17095571164356155"/>
          <c:y val="2.3148139758003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[1]Calculations!$J$2</c:f>
              <c:strCache>
                <c:ptCount val="1"/>
                <c:pt idx="0">
                  <c:v>Absolute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[1]Calculations!$I$3:$I$16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[1]Calculations!$J$3:$J$16</c:f>
              <c:numCache>
                <c:formatCode>General</c:formatCode>
                <c:ptCount val="14"/>
                <c:pt idx="0">
                  <c:v>15200</c:v>
                </c:pt>
                <c:pt idx="1">
                  <c:v>6345.0000000000009</c:v>
                </c:pt>
                <c:pt idx="2">
                  <c:v>5500</c:v>
                </c:pt>
                <c:pt idx="3">
                  <c:v>2650</c:v>
                </c:pt>
                <c:pt idx="4">
                  <c:v>2010</c:v>
                </c:pt>
                <c:pt idx="5">
                  <c:v>1599.9999999999998</c:v>
                </c:pt>
                <c:pt idx="6">
                  <c:v>1050</c:v>
                </c:pt>
                <c:pt idx="7">
                  <c:v>1000.0000000000001</c:v>
                </c:pt>
                <c:pt idx="8">
                  <c:v>1000.0000000000001</c:v>
                </c:pt>
                <c:pt idx="9">
                  <c:v>950</c:v>
                </c:pt>
                <c:pt idx="10">
                  <c:v>780</c:v>
                </c:pt>
                <c:pt idx="11">
                  <c:v>690</c:v>
                </c:pt>
                <c:pt idx="12">
                  <c:v>399.99999999999994</c:v>
                </c:pt>
                <c:pt idx="13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A-4E2B-B591-DE4511B9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298576"/>
        <c:axId val="683301936"/>
      </c:barChart>
      <c:lineChart>
        <c:grouping val="standard"/>
        <c:varyColors val="0"/>
        <c:ser>
          <c:idx val="1"/>
          <c:order val="1"/>
          <c:tx>
            <c:strRef>
              <c:f>[1]Calculations!$L$2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[1]Calculations!$I$3:$I$16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[1]Calculations!$L$3:$L$16</c:f>
              <c:numCache>
                <c:formatCode>General</c:formatCode>
                <c:ptCount val="14"/>
                <c:pt idx="0">
                  <c:v>0.38549327922901344</c:v>
                </c:pt>
                <c:pt idx="1">
                  <c:v>0.54641136190717732</c:v>
                </c:pt>
                <c:pt idx="2">
                  <c:v>0.68589906162820191</c:v>
                </c:pt>
                <c:pt idx="3">
                  <c:v>0.75310677149378646</c:v>
                </c:pt>
                <c:pt idx="4">
                  <c:v>0.80408318539183365</c:v>
                </c:pt>
                <c:pt idx="5">
                  <c:v>0.84466142531067723</c:v>
                </c:pt>
                <c:pt idx="6">
                  <c:v>0.87129089525741832</c:v>
                </c:pt>
                <c:pt idx="7">
                  <c:v>0.89665229520669554</c:v>
                </c:pt>
                <c:pt idx="8">
                  <c:v>0.92201369515597276</c:v>
                </c:pt>
                <c:pt idx="9">
                  <c:v>0.9461070251077861</c:v>
                </c:pt>
                <c:pt idx="10">
                  <c:v>0.96588891706822233</c:v>
                </c:pt>
                <c:pt idx="11">
                  <c:v>0.98338828303322356</c:v>
                </c:pt>
                <c:pt idx="12">
                  <c:v>0.99353284301293443</c:v>
                </c:pt>
                <c:pt idx="13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EA-4E2B-B591-DE4511B9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159056"/>
        <c:axId val="1022347168"/>
      </c:lineChart>
      <c:catAx>
        <c:axId val="68329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01936"/>
        <c:crosses val="autoZero"/>
        <c:auto val="1"/>
        <c:lblAlgn val="ctr"/>
        <c:lblOffset val="100"/>
        <c:noMultiLvlLbl val="0"/>
      </c:catAx>
      <c:valAx>
        <c:axId val="6833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Absolute Revenue (₹)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439351851851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98576"/>
        <c:crosses val="autoZero"/>
        <c:crossBetween val="between"/>
      </c:valAx>
      <c:valAx>
        <c:axId val="1022347168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59056"/>
        <c:crosses val="max"/>
        <c:crossBetween val="between"/>
      </c:valAx>
      <c:catAx>
        <c:axId val="1181159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2347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6</xdr:col>
      <xdr:colOff>419651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60D94-19AA-4718-AD8D-CF5242749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28272</xdr:colOff>
      <xdr:row>15</xdr:row>
      <xdr:rowOff>43842</xdr:rowOff>
    </xdr:from>
    <xdr:to>
      <xdr:col>6</xdr:col>
      <xdr:colOff>417003</xdr:colOff>
      <xdr:row>32</xdr:row>
      <xdr:rowOff>49354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FEF4C3-3756-429B-BB9A-C5887B896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289448</xdr:colOff>
      <xdr:row>0</xdr:row>
      <xdr:rowOff>129541</xdr:rowOff>
    </xdr:from>
    <xdr:to>
      <xdr:col>34</xdr:col>
      <xdr:colOff>176696</xdr:colOff>
      <xdr:row>18</xdr:row>
      <xdr:rowOff>11044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5EDCA6-E974-4379-94CC-47B5C438A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33571</xdr:colOff>
      <xdr:row>15</xdr:row>
      <xdr:rowOff>88790</xdr:rowOff>
    </xdr:from>
    <xdr:to>
      <xdr:col>15</xdr:col>
      <xdr:colOff>276087</xdr:colOff>
      <xdr:row>31</xdr:row>
      <xdr:rowOff>66262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A95900-DF4E-49CA-8D79-7D1A31EA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566420</xdr:colOff>
      <xdr:row>0</xdr:row>
      <xdr:rowOff>0</xdr:rowOff>
    </xdr:from>
    <xdr:to>
      <xdr:col>15</xdr:col>
      <xdr:colOff>307340</xdr:colOff>
      <xdr:row>14</xdr:row>
      <xdr:rowOff>168689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FF65C3-66CC-4A60-B2C8-2FA2C78D4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342347</xdr:colOff>
      <xdr:row>19</xdr:row>
      <xdr:rowOff>154609</xdr:rowOff>
    </xdr:from>
    <xdr:to>
      <xdr:col>34</xdr:col>
      <xdr:colOff>55216</xdr:colOff>
      <xdr:row>36</xdr:row>
      <xdr:rowOff>66261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D2E60A-F02B-42DE-A5FE-31A898AB9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298172</xdr:colOff>
      <xdr:row>1</xdr:row>
      <xdr:rowOff>66261</xdr:rowOff>
    </xdr:from>
    <xdr:to>
      <xdr:col>42</xdr:col>
      <xdr:colOff>585303</xdr:colOff>
      <xdr:row>18</xdr:row>
      <xdr:rowOff>110435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8A5E51-53C4-40E1-9E09-9013FEAEE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438125</xdr:colOff>
      <xdr:row>0</xdr:row>
      <xdr:rowOff>0</xdr:rowOff>
    </xdr:from>
    <xdr:to>
      <xdr:col>25</xdr:col>
      <xdr:colOff>161034</xdr:colOff>
      <xdr:row>19</xdr:row>
      <xdr:rowOff>27711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A08E8A-8B76-47E3-B2AD-7FC597BE9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452782</xdr:colOff>
      <xdr:row>19</xdr:row>
      <xdr:rowOff>132523</xdr:rowOff>
    </xdr:from>
    <xdr:to>
      <xdr:col>24</xdr:col>
      <xdr:colOff>244976</xdr:colOff>
      <xdr:row>36</xdr:row>
      <xdr:rowOff>178986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0A3F2F-D170-4D3F-8794-1C3335AB1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bd814006c8dbc9/Documents/BDM%20offcial%20data%20set.xlsx" TargetMode="External"/><Relationship Id="rId1" Type="http://schemas.openxmlformats.org/officeDocument/2006/relationships/externalLinkPath" Target="BDM%20offcial%20data%20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Price list"/>
      <sheetName val="cleaned data"/>
      <sheetName val="Calculations"/>
      <sheetName val="chart data"/>
    </sheetNames>
    <sheetDataSet>
      <sheetData sheetId="0"/>
      <sheetData sheetId="1"/>
      <sheetData sheetId="2"/>
      <sheetData sheetId="3">
        <row r="2">
          <cell r="E2" t="str">
            <v>Absolute Revenue</v>
          </cell>
          <cell r="G2" t="str">
            <v>Cummulative %</v>
          </cell>
          <cell r="J2" t="str">
            <v>Absolute Revenue</v>
          </cell>
          <cell r="L2" t="str">
            <v>Cummulative %</v>
          </cell>
          <cell r="AA2" t="str">
            <v>New</v>
          </cell>
          <cell r="AB2" t="str">
            <v>Repeat</v>
          </cell>
          <cell r="AF2" t="str">
            <v>New</v>
          </cell>
          <cell r="AG2" t="str">
            <v>Repeat</v>
          </cell>
          <cell r="AL2" t="str">
            <v>Below Min(Bargain)</v>
          </cell>
        </row>
        <row r="3">
          <cell r="D3" t="str">
            <v>Hair coloring</v>
          </cell>
          <cell r="E3">
            <v>40350</v>
          </cell>
          <cell r="G3">
            <v>0.18786665425086135</v>
          </cell>
          <cell r="I3" t="str">
            <v xml:space="preserve">Aari Blouse  </v>
          </cell>
          <cell r="J3">
            <v>15200</v>
          </cell>
          <cell r="L3">
            <v>0.38549327922901344</v>
          </cell>
          <cell r="Z3" t="str">
            <v>Eyebrow Threading</v>
          </cell>
          <cell r="AA3">
            <v>48</v>
          </cell>
          <cell r="AB3">
            <v>151</v>
          </cell>
          <cell r="AE3" t="str">
            <v>Alteration work</v>
          </cell>
          <cell r="AF3">
            <v>8</v>
          </cell>
          <cell r="AG3">
            <v>7</v>
          </cell>
          <cell r="AJ3" t="str">
            <v>Eyebrow Threading</v>
          </cell>
          <cell r="AL3">
            <v>79</v>
          </cell>
        </row>
        <row r="4">
          <cell r="D4" t="str">
            <v>Eyebrow Threading</v>
          </cell>
          <cell r="E4">
            <v>13820</v>
          </cell>
          <cell r="G4">
            <v>0.25221156532265576</v>
          </cell>
          <cell r="I4" t="str">
            <v>Blouse</v>
          </cell>
          <cell r="J4">
            <v>6345.0000000000009</v>
          </cell>
          <cell r="L4">
            <v>0.54641136190717732</v>
          </cell>
          <cell r="Z4" t="str">
            <v>EBS</v>
          </cell>
          <cell r="AA4">
            <v>6</v>
          </cell>
          <cell r="AB4">
            <v>41</v>
          </cell>
          <cell r="AE4" t="str">
            <v>Saree Oram</v>
          </cell>
          <cell r="AF4">
            <v>6</v>
          </cell>
          <cell r="AG4">
            <v>1</v>
          </cell>
          <cell r="AJ4" t="str">
            <v>Hair coloring</v>
          </cell>
          <cell r="AL4">
            <v>29</v>
          </cell>
        </row>
        <row r="5">
          <cell r="D5" t="str">
            <v>Layer cut</v>
          </cell>
          <cell r="E5">
            <v>12130</v>
          </cell>
          <cell r="G5">
            <v>0.30868795977279079</v>
          </cell>
          <cell r="I5" t="str">
            <v>Bridal Blouse</v>
          </cell>
          <cell r="J5">
            <v>5500</v>
          </cell>
          <cell r="L5">
            <v>0.68589906162820191</v>
          </cell>
          <cell r="Z5" t="str">
            <v>Saree prepleat</v>
          </cell>
          <cell r="AA5">
            <v>5</v>
          </cell>
          <cell r="AB5">
            <v>13</v>
          </cell>
          <cell r="AE5" t="str">
            <v>Blouse</v>
          </cell>
          <cell r="AF5">
            <v>6</v>
          </cell>
          <cell r="AG5">
            <v>13</v>
          </cell>
          <cell r="AJ5" t="str">
            <v>Color apply</v>
          </cell>
          <cell r="AL5">
            <v>12</v>
          </cell>
        </row>
        <row r="6">
          <cell r="D6" t="str">
            <v>Color apply</v>
          </cell>
          <cell r="E6">
            <v>9760</v>
          </cell>
          <cell r="G6">
            <v>0.35412980724462245</v>
          </cell>
          <cell r="I6" t="str">
            <v xml:space="preserve">Chudidhar </v>
          </cell>
          <cell r="J6">
            <v>2650</v>
          </cell>
          <cell r="L6">
            <v>0.75310677149378646</v>
          </cell>
          <cell r="Z6" t="str">
            <v>Golden Facial</v>
          </cell>
          <cell r="AA6">
            <v>4</v>
          </cell>
          <cell r="AB6">
            <v>5</v>
          </cell>
          <cell r="AE6" t="str">
            <v>Sleeve</v>
          </cell>
          <cell r="AF6">
            <v>5</v>
          </cell>
          <cell r="AG6"/>
          <cell r="AJ6" t="str">
            <v>Layer cut</v>
          </cell>
          <cell r="AL6">
            <v>12</v>
          </cell>
        </row>
        <row r="7">
          <cell r="D7" t="str">
            <v>Golden Facial</v>
          </cell>
          <cell r="E7">
            <v>9500</v>
          </cell>
          <cell r="G7">
            <v>0.39836111369773725</v>
          </cell>
          <cell r="I7" t="str">
            <v>Alteration work</v>
          </cell>
          <cell r="J7">
            <v>2010</v>
          </cell>
          <cell r="L7">
            <v>0.80408318539183365</v>
          </cell>
          <cell r="Z7" t="str">
            <v>Hair coloring</v>
          </cell>
          <cell r="AA7">
            <v>4</v>
          </cell>
          <cell r="AB7">
            <v>45</v>
          </cell>
          <cell r="AE7" t="str">
            <v xml:space="preserve">Aari Blouse  </v>
          </cell>
          <cell r="AF7">
            <v>5</v>
          </cell>
          <cell r="AG7">
            <v>1</v>
          </cell>
          <cell r="AJ7" t="str">
            <v>De-tan Facial</v>
          </cell>
          <cell r="AL7">
            <v>7</v>
          </cell>
        </row>
        <row r="8">
          <cell r="D8" t="str">
            <v>Whitening Facial</v>
          </cell>
          <cell r="E8">
            <v>8900</v>
          </cell>
          <cell r="G8">
            <v>0.43979886395381323</v>
          </cell>
          <cell r="I8" t="str">
            <v>Saree Oram</v>
          </cell>
          <cell r="J8">
            <v>1599.9999999999998</v>
          </cell>
          <cell r="L8">
            <v>0.84466142531067723</v>
          </cell>
          <cell r="AJ8" t="str">
            <v>Cleanup</v>
          </cell>
          <cell r="AL8">
            <v>6</v>
          </cell>
        </row>
        <row r="9">
          <cell r="D9" t="str">
            <v>Baby Shower Makeup</v>
          </cell>
          <cell r="E9">
            <v>7500.0000000000009</v>
          </cell>
          <cell r="G9">
            <v>0.47471831641679862</v>
          </cell>
          <cell r="I9" t="str">
            <v>Uniform Stitching</v>
          </cell>
          <cell r="J9">
            <v>1050</v>
          </cell>
          <cell r="L9">
            <v>0.87129089525741832</v>
          </cell>
          <cell r="AJ9" t="str">
            <v>Golden Facial</v>
          </cell>
          <cell r="AL9">
            <v>5</v>
          </cell>
        </row>
        <row r="10">
          <cell r="D10" t="str">
            <v>De-tan Facial</v>
          </cell>
          <cell r="E10">
            <v>7050</v>
          </cell>
          <cell r="G10">
            <v>0.50754260173200483</v>
          </cell>
          <cell r="I10" t="str">
            <v>Maxi Aari Work</v>
          </cell>
          <cell r="J10">
            <v>1000.0000000000001</v>
          </cell>
          <cell r="L10">
            <v>0.89665229520669554</v>
          </cell>
          <cell r="AJ10" t="str">
            <v>Bleach</v>
          </cell>
          <cell r="AL10">
            <v>5</v>
          </cell>
        </row>
        <row r="11">
          <cell r="D11" t="str">
            <v>Bridal Makeup</v>
          </cell>
          <cell r="E11">
            <v>7000.0000000000009</v>
          </cell>
          <cell r="G11">
            <v>0.54013409069745788</v>
          </cell>
          <cell r="I11" t="str">
            <v>Machine Embroidery</v>
          </cell>
          <cell r="J11">
            <v>1000.0000000000001</v>
          </cell>
          <cell r="L11">
            <v>0.92201369515597276</v>
          </cell>
          <cell r="AJ11" t="str">
            <v>Wine Facial</v>
          </cell>
          <cell r="AL11">
            <v>5</v>
          </cell>
        </row>
        <row r="12">
          <cell r="D12" t="str">
            <v>Saree prepleat</v>
          </cell>
          <cell r="E12">
            <v>6989.9999999999991</v>
          </cell>
          <cell r="G12">
            <v>0.57267902039296026</v>
          </cell>
          <cell r="I12" t="str">
            <v>Sleeve</v>
          </cell>
          <cell r="J12">
            <v>950</v>
          </cell>
          <cell r="L12">
            <v>0.9461070251077861</v>
          </cell>
          <cell r="AJ12" t="str">
            <v>Fruit Facial</v>
          </cell>
          <cell r="AL12">
            <v>4</v>
          </cell>
        </row>
        <row r="13">
          <cell r="D13" t="str">
            <v>Fruit Facial</v>
          </cell>
          <cell r="E13">
            <v>6829.9999999999991</v>
          </cell>
          <cell r="G13">
            <v>0.60447900176925229</v>
          </cell>
          <cell r="I13" t="str">
            <v>Pant</v>
          </cell>
          <cell r="J13">
            <v>780</v>
          </cell>
          <cell r="L13">
            <v>0.96588891706822233</v>
          </cell>
        </row>
        <row r="14">
          <cell r="D14" t="str">
            <v>EBS</v>
          </cell>
          <cell r="E14">
            <v>6450</v>
          </cell>
          <cell r="G14">
            <v>0.63450973088741969</v>
          </cell>
          <cell r="I14" t="str">
            <v>Oram Stitching</v>
          </cell>
          <cell r="J14">
            <v>690</v>
          </cell>
          <cell r="L14">
            <v>0.98338828303322356</v>
          </cell>
        </row>
        <row r="15">
          <cell r="D15" t="str">
            <v>Wine Facial</v>
          </cell>
          <cell r="E15">
            <v>5750</v>
          </cell>
          <cell r="G15">
            <v>0.66128131110904187</v>
          </cell>
          <cell r="I15" t="str">
            <v>Maxi</v>
          </cell>
          <cell r="J15">
            <v>399.99999999999994</v>
          </cell>
          <cell r="L15">
            <v>0.99353284301293443</v>
          </cell>
        </row>
        <row r="16">
          <cell r="D16" t="str">
            <v>Hair wash</v>
          </cell>
          <cell r="E16">
            <v>5300</v>
          </cell>
          <cell r="G16">
            <v>0.68595772418288492</v>
          </cell>
          <cell r="I16" t="str">
            <v>Fals Stitching</v>
          </cell>
          <cell r="J16">
            <v>255</v>
          </cell>
          <cell r="L16">
            <v>1.0000000000000002</v>
          </cell>
        </row>
        <row r="17">
          <cell r="D17" t="str">
            <v>Pearl Facial</v>
          </cell>
          <cell r="E17">
            <v>5270</v>
          </cell>
          <cell r="G17">
            <v>0.71049445944687595</v>
          </cell>
        </row>
        <row r="18">
          <cell r="D18" t="str">
            <v>Diamond Facial</v>
          </cell>
          <cell r="E18">
            <v>5160</v>
          </cell>
          <cell r="G18">
            <v>0.73451904274140989</v>
          </cell>
        </row>
        <row r="19">
          <cell r="D19" t="str">
            <v>Bleach</v>
          </cell>
          <cell r="E19">
            <v>5000</v>
          </cell>
          <cell r="G19">
            <v>0.75779867771673348</v>
          </cell>
        </row>
        <row r="20">
          <cell r="D20" t="str">
            <v>Vitamin C Facial</v>
          </cell>
          <cell r="E20">
            <v>4200</v>
          </cell>
          <cell r="G20">
            <v>0.77735357109600534</v>
          </cell>
        </row>
        <row r="21">
          <cell r="D21" t="str">
            <v>Cleanup</v>
          </cell>
          <cell r="E21">
            <v>4180</v>
          </cell>
          <cell r="G21">
            <v>0.79681534593537584</v>
          </cell>
          <cell r="U21" t="str">
            <v>New</v>
          </cell>
          <cell r="V21" t="str">
            <v>Repeat</v>
          </cell>
        </row>
        <row r="22">
          <cell r="D22" t="str">
            <v>Simple Makeup</v>
          </cell>
          <cell r="E22">
            <v>3900.0000000000005</v>
          </cell>
          <cell r="G22">
            <v>0.81497346121612824</v>
          </cell>
          <cell r="T22" t="str">
            <v>Feb-2025</v>
          </cell>
          <cell r="U22">
            <v>25</v>
          </cell>
          <cell r="V22">
            <v>1</v>
          </cell>
        </row>
        <row r="23">
          <cell r="D23" t="str">
            <v>Party Makeup</v>
          </cell>
          <cell r="E23">
            <v>3600</v>
          </cell>
          <cell r="G23">
            <v>0.83173479839836117</v>
          </cell>
          <cell r="T23" t="str">
            <v>Mar-2025</v>
          </cell>
          <cell r="U23">
            <v>5</v>
          </cell>
          <cell r="V23">
            <v>3</v>
          </cell>
        </row>
        <row r="24">
          <cell r="D24" t="str">
            <v>Hair SPA</v>
          </cell>
          <cell r="E24">
            <v>3569.9999999999995</v>
          </cell>
          <cell r="G24">
            <v>0.8483564577707422</v>
          </cell>
          <cell r="T24" t="str">
            <v>Apr-2025</v>
          </cell>
          <cell r="U24">
            <v>6</v>
          </cell>
          <cell r="V24">
            <v>10</v>
          </cell>
        </row>
        <row r="25">
          <cell r="D25" t="str">
            <v>Green Tea Facial</v>
          </cell>
          <cell r="E25">
            <v>3200</v>
          </cell>
          <cell r="G25">
            <v>0.86325542415494927</v>
          </cell>
          <cell r="T25" t="str">
            <v>May-2025</v>
          </cell>
          <cell r="U25">
            <v>2</v>
          </cell>
          <cell r="V25">
            <v>14</v>
          </cell>
        </row>
        <row r="26">
          <cell r="D26" t="str">
            <v>Saree drape</v>
          </cell>
          <cell r="E26">
            <v>2900</v>
          </cell>
          <cell r="G26">
            <v>0.87675761244063699</v>
          </cell>
          <cell r="T26" t="str">
            <v>Jun-2025</v>
          </cell>
          <cell r="U26">
            <v>2</v>
          </cell>
          <cell r="V26">
            <v>15</v>
          </cell>
        </row>
        <row r="27">
          <cell r="D27" t="str">
            <v>Bridal Facial</v>
          </cell>
          <cell r="E27">
            <v>2760</v>
          </cell>
          <cell r="G27">
            <v>0.8896079709470156</v>
          </cell>
        </row>
        <row r="28">
          <cell r="D28" t="str">
            <v>U cut</v>
          </cell>
          <cell r="E28">
            <v>2710</v>
          </cell>
          <cell r="G28">
            <v>0.90222553310364095</v>
          </cell>
        </row>
        <row r="29">
          <cell r="D29" t="str">
            <v>Head Massage</v>
          </cell>
          <cell r="E29">
            <v>2670</v>
          </cell>
          <cell r="G29">
            <v>0.91465685818046372</v>
          </cell>
          <cell r="U29" t="str">
            <v>New</v>
          </cell>
          <cell r="V29" t="str">
            <v>Repeat</v>
          </cell>
        </row>
        <row r="30">
          <cell r="D30" t="str">
            <v>Hair coloring full</v>
          </cell>
          <cell r="E30">
            <v>2600</v>
          </cell>
          <cell r="G30">
            <v>0.92676226836763198</v>
          </cell>
          <cell r="T30" t="str">
            <v>Jul-2024</v>
          </cell>
          <cell r="U30">
            <v>7</v>
          </cell>
          <cell r="V30">
            <v>32</v>
          </cell>
        </row>
        <row r="31">
          <cell r="D31" t="str">
            <v>Lice treatment</v>
          </cell>
          <cell r="E31">
            <v>2000</v>
          </cell>
          <cell r="G31">
            <v>0.93607412235776144</v>
          </cell>
          <cell r="J31" t="str">
            <v>New</v>
          </cell>
          <cell r="K31" t="str">
            <v>Repeat</v>
          </cell>
          <cell r="T31" t="str">
            <v>Aug-2024</v>
          </cell>
          <cell r="U31">
            <v>11</v>
          </cell>
          <cell r="V31">
            <v>48</v>
          </cell>
        </row>
        <row r="32">
          <cell r="D32" t="str">
            <v>Basic cut</v>
          </cell>
          <cell r="E32">
            <v>1800</v>
          </cell>
          <cell r="G32">
            <v>0.94445479094887796</v>
          </cell>
          <cell r="I32" t="str">
            <v>Beauty service</v>
          </cell>
          <cell r="J32">
            <v>34730</v>
          </cell>
          <cell r="K32">
            <v>180050</v>
          </cell>
          <cell r="T32" t="str">
            <v>Sep-2024</v>
          </cell>
          <cell r="U32">
            <v>10</v>
          </cell>
          <cell r="V32">
            <v>38</v>
          </cell>
        </row>
        <row r="33">
          <cell r="D33" t="str">
            <v>Straight cut</v>
          </cell>
          <cell r="E33">
            <v>1770</v>
          </cell>
          <cell r="G33">
            <v>0.95269578173014247</v>
          </cell>
          <cell r="I33" t="str">
            <v>Tailoring service</v>
          </cell>
          <cell r="J33">
            <v>23475</v>
          </cell>
          <cell r="K33">
            <v>15955</v>
          </cell>
          <cell r="T33" t="str">
            <v>Oct-2024</v>
          </cell>
          <cell r="U33">
            <v>8</v>
          </cell>
          <cell r="V33">
            <v>36</v>
          </cell>
        </row>
        <row r="34">
          <cell r="D34" t="str">
            <v>Hand Wax</v>
          </cell>
          <cell r="E34">
            <v>1750.0000000000002</v>
          </cell>
          <cell r="G34">
            <v>0.96084365397150573</v>
          </cell>
          <cell r="T34" t="str">
            <v>Nov-2024</v>
          </cell>
          <cell r="U34">
            <v>11</v>
          </cell>
          <cell r="V34">
            <v>32</v>
          </cell>
        </row>
        <row r="35">
          <cell r="D35" t="str">
            <v>Face Wax</v>
          </cell>
          <cell r="E35">
            <v>1460</v>
          </cell>
          <cell r="G35">
            <v>0.96764130738430021</v>
          </cell>
          <cell r="T35" t="str">
            <v>Dec-2024</v>
          </cell>
          <cell r="U35">
            <v>4</v>
          </cell>
          <cell r="V35">
            <v>26</v>
          </cell>
        </row>
        <row r="36">
          <cell r="D36" t="str">
            <v>Butterfly cut</v>
          </cell>
          <cell r="E36">
            <v>1160</v>
          </cell>
          <cell r="G36">
            <v>0.97304218269857523</v>
          </cell>
          <cell r="T36" t="str">
            <v>Jan-2025</v>
          </cell>
          <cell r="U36">
            <v>7</v>
          </cell>
          <cell r="V36">
            <v>51</v>
          </cell>
        </row>
        <row r="37">
          <cell r="D37" t="str">
            <v>Pedicure</v>
          </cell>
          <cell r="E37">
            <v>1100</v>
          </cell>
          <cell r="G37">
            <v>0.97816370239314643</v>
          </cell>
          <cell r="T37" t="str">
            <v>Feb-2025</v>
          </cell>
          <cell r="U37">
            <v>4</v>
          </cell>
          <cell r="V37">
            <v>33</v>
          </cell>
        </row>
        <row r="38">
          <cell r="D38" t="str">
            <v>Straightening</v>
          </cell>
          <cell r="E38">
            <v>900</v>
          </cell>
          <cell r="G38">
            <v>0.98235403668870469</v>
          </cell>
          <cell r="T38" t="str">
            <v>Mar-2025</v>
          </cell>
          <cell r="U38">
            <v>8</v>
          </cell>
          <cell r="V38">
            <v>26</v>
          </cell>
        </row>
        <row r="39">
          <cell r="D39" t="str">
            <v>Feather cut</v>
          </cell>
          <cell r="E39">
            <v>800</v>
          </cell>
          <cell r="G39">
            <v>0.98607877828475643</v>
          </cell>
          <cell r="T39" t="str">
            <v>Apr-2025</v>
          </cell>
          <cell r="U39">
            <v>9</v>
          </cell>
          <cell r="V39">
            <v>47</v>
          </cell>
        </row>
        <row r="40">
          <cell r="D40" t="str">
            <v>Baby cut</v>
          </cell>
          <cell r="E40">
            <v>670</v>
          </cell>
          <cell r="G40">
            <v>0.98919824937144984</v>
          </cell>
          <cell r="T40" t="str">
            <v>May-2025</v>
          </cell>
          <cell r="U40">
            <v>4</v>
          </cell>
          <cell r="V40">
            <v>26</v>
          </cell>
        </row>
        <row r="41">
          <cell r="D41" t="str">
            <v>Full Arms Wax</v>
          </cell>
          <cell r="E41">
            <v>650</v>
          </cell>
          <cell r="G41">
            <v>0.99222460191824191</v>
          </cell>
          <cell r="T41" t="str">
            <v>Jun-2025</v>
          </cell>
          <cell r="U41">
            <v>9</v>
          </cell>
          <cell r="V41">
            <v>40</v>
          </cell>
        </row>
        <row r="42">
          <cell r="D42" t="str">
            <v>Smoothening</v>
          </cell>
          <cell r="E42">
            <v>620</v>
          </cell>
          <cell r="G42">
            <v>0.99511127665518206</v>
          </cell>
        </row>
        <row r="43">
          <cell r="D43" t="str">
            <v>Ear piercing</v>
          </cell>
          <cell r="E43">
            <v>600</v>
          </cell>
          <cell r="G43">
            <v>0.99790483285222087</v>
          </cell>
        </row>
        <row r="44">
          <cell r="D44" t="str">
            <v>Under Arm Wax</v>
          </cell>
          <cell r="E44">
            <v>250</v>
          </cell>
          <cell r="G44">
            <v>0.99906881460098707</v>
          </cell>
        </row>
        <row r="45">
          <cell r="D45" t="str">
            <v>Blowdry</v>
          </cell>
          <cell r="E45">
            <v>200</v>
          </cell>
          <cell r="G45">
            <v>1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FD15-0791-4CF6-8ADF-9DA36F339503}">
  <dimension ref="A1:E24"/>
  <sheetViews>
    <sheetView workbookViewId="0">
      <selection activeCell="B16" sqref="B16"/>
    </sheetView>
  </sheetViews>
  <sheetFormatPr defaultRowHeight="14.4" x14ac:dyDescent="0.3"/>
  <cols>
    <col min="1" max="1" width="16.6640625" customWidth="1"/>
    <col min="2" max="2" width="30.44140625" customWidth="1"/>
    <col min="3" max="3" width="19.109375" customWidth="1"/>
    <col min="4" max="4" width="15.88671875" customWidth="1"/>
    <col min="5" max="5" width="18.77734375" customWidth="1"/>
  </cols>
  <sheetData>
    <row r="1" spans="1:5" x14ac:dyDescent="0.3">
      <c r="A1" s="3" t="s">
        <v>0</v>
      </c>
      <c r="B1" s="1" t="s">
        <v>1</v>
      </c>
      <c r="C1" s="1" t="s">
        <v>140</v>
      </c>
      <c r="D1" s="1" t="s">
        <v>139</v>
      </c>
      <c r="E1" s="1" t="s">
        <v>4</v>
      </c>
    </row>
    <row r="2" spans="1:5" ht="15.6" x14ac:dyDescent="0.3">
      <c r="A2" s="69">
        <v>45474</v>
      </c>
      <c r="B2" s="2" t="s">
        <v>9</v>
      </c>
      <c r="C2" s="2">
        <v>70</v>
      </c>
      <c r="D2" s="2" t="s">
        <v>10</v>
      </c>
      <c r="E2" s="2" t="s">
        <v>11</v>
      </c>
    </row>
    <row r="3" spans="1:5" ht="15.6" x14ac:dyDescent="0.3">
      <c r="A3" s="69">
        <v>45474</v>
      </c>
      <c r="B3" s="2" t="s">
        <v>9</v>
      </c>
      <c r="C3" s="2">
        <v>70</v>
      </c>
      <c r="D3" s="2" t="s">
        <v>15</v>
      </c>
      <c r="E3" s="2" t="s">
        <v>11</v>
      </c>
    </row>
    <row r="4" spans="1:5" ht="15.6" x14ac:dyDescent="0.3">
      <c r="A4" s="69">
        <v>45475</v>
      </c>
      <c r="B4" s="2" t="s">
        <v>9</v>
      </c>
      <c r="C4" s="2">
        <v>70</v>
      </c>
      <c r="D4" s="2" t="s">
        <v>15</v>
      </c>
      <c r="E4" s="2" t="s">
        <v>11</v>
      </c>
    </row>
    <row r="5" spans="1:5" ht="15.6" x14ac:dyDescent="0.3">
      <c r="A5" s="69">
        <v>45477</v>
      </c>
      <c r="B5" s="2" t="s">
        <v>9</v>
      </c>
      <c r="C5" s="2">
        <v>60</v>
      </c>
      <c r="D5" s="2" t="s">
        <v>15</v>
      </c>
      <c r="E5" s="2" t="s">
        <v>11</v>
      </c>
    </row>
    <row r="6" spans="1:5" ht="15.6" x14ac:dyDescent="0.3">
      <c r="A6" s="69">
        <v>45480</v>
      </c>
      <c r="B6" s="2" t="s">
        <v>138</v>
      </c>
      <c r="C6" s="2">
        <v>4500</v>
      </c>
      <c r="D6" s="2" t="s">
        <v>15</v>
      </c>
      <c r="E6" s="2" t="s">
        <v>11</v>
      </c>
    </row>
    <row r="7" spans="1:5" ht="15.6" x14ac:dyDescent="0.3">
      <c r="A7" s="69">
        <v>45483</v>
      </c>
      <c r="B7" s="2" t="s">
        <v>137</v>
      </c>
      <c r="C7" s="2">
        <v>850</v>
      </c>
      <c r="D7" s="2" t="s">
        <v>15</v>
      </c>
      <c r="E7" s="2" t="s">
        <v>11</v>
      </c>
    </row>
    <row r="8" spans="1:5" ht="15.6" x14ac:dyDescent="0.3">
      <c r="A8" s="69">
        <v>45483</v>
      </c>
      <c r="B8" s="2" t="s">
        <v>19</v>
      </c>
      <c r="C8" s="2">
        <v>140</v>
      </c>
      <c r="D8" s="2" t="s">
        <v>15</v>
      </c>
      <c r="E8" s="2" t="s">
        <v>11</v>
      </c>
    </row>
    <row r="9" spans="1:5" ht="15.6" x14ac:dyDescent="0.3">
      <c r="A9" s="69">
        <v>45483</v>
      </c>
      <c r="B9" s="2" t="s">
        <v>9</v>
      </c>
      <c r="C9" s="2">
        <v>60</v>
      </c>
      <c r="D9" s="2" t="s">
        <v>15</v>
      </c>
      <c r="E9" s="2" t="s">
        <v>11</v>
      </c>
    </row>
    <row r="10" spans="1:5" ht="15.6" x14ac:dyDescent="0.3">
      <c r="A10" s="69">
        <v>45486</v>
      </c>
      <c r="B10" s="2" t="s">
        <v>9</v>
      </c>
      <c r="C10" s="2">
        <v>60</v>
      </c>
      <c r="D10" s="2" t="s">
        <v>10</v>
      </c>
      <c r="E10" s="2" t="s">
        <v>11</v>
      </c>
    </row>
    <row r="11" spans="1:5" ht="15.6" x14ac:dyDescent="0.3">
      <c r="A11" s="69">
        <v>45487</v>
      </c>
      <c r="B11" s="2" t="s">
        <v>9</v>
      </c>
      <c r="C11" s="2">
        <v>60</v>
      </c>
      <c r="D11" s="2" t="s">
        <v>10</v>
      </c>
      <c r="E11" s="2" t="s">
        <v>11</v>
      </c>
    </row>
    <row r="12" spans="1:5" ht="15.6" x14ac:dyDescent="0.3">
      <c r="A12" s="69">
        <v>45488</v>
      </c>
      <c r="B12" s="2" t="s">
        <v>9</v>
      </c>
      <c r="C12" s="2">
        <v>60</v>
      </c>
      <c r="D12" s="2" t="s">
        <v>15</v>
      </c>
      <c r="E12" s="2" t="s">
        <v>11</v>
      </c>
    </row>
    <row r="13" spans="1:5" ht="15.6" x14ac:dyDescent="0.3">
      <c r="A13" s="69">
        <v>45489</v>
      </c>
      <c r="B13" s="2" t="s">
        <v>9</v>
      </c>
      <c r="C13" s="2">
        <v>60</v>
      </c>
      <c r="D13" s="2" t="s">
        <v>15</v>
      </c>
      <c r="E13" s="2" t="s">
        <v>11</v>
      </c>
    </row>
    <row r="14" spans="1:5" ht="15.6" x14ac:dyDescent="0.3">
      <c r="A14" s="69">
        <v>45488</v>
      </c>
      <c r="B14" s="2" t="s">
        <v>21</v>
      </c>
      <c r="C14" s="2">
        <v>200</v>
      </c>
      <c r="D14" s="2" t="s">
        <v>15</v>
      </c>
      <c r="E14" s="2" t="s">
        <v>11</v>
      </c>
    </row>
    <row r="15" spans="1:5" ht="15.6" x14ac:dyDescent="0.3">
      <c r="A15" s="69">
        <v>45489</v>
      </c>
      <c r="B15" s="2" t="s">
        <v>9</v>
      </c>
      <c r="C15" s="2">
        <v>100</v>
      </c>
      <c r="D15" s="2" t="s">
        <v>15</v>
      </c>
      <c r="E15" s="2" t="s">
        <v>11</v>
      </c>
    </row>
    <row r="16" spans="1:5" ht="15.6" x14ac:dyDescent="0.3">
      <c r="A16" s="69">
        <v>45489</v>
      </c>
      <c r="B16" s="2" t="s">
        <v>22</v>
      </c>
      <c r="C16" s="2">
        <v>350</v>
      </c>
      <c r="D16" s="2" t="s">
        <v>15</v>
      </c>
      <c r="E16" s="2" t="s">
        <v>11</v>
      </c>
    </row>
    <row r="17" spans="1:5" ht="15.6" x14ac:dyDescent="0.3">
      <c r="A17" s="69">
        <v>45492</v>
      </c>
      <c r="B17" s="2" t="s">
        <v>23</v>
      </c>
      <c r="C17" s="2">
        <v>700</v>
      </c>
      <c r="D17" s="2" t="s">
        <v>15</v>
      </c>
      <c r="E17" s="2" t="s">
        <v>11</v>
      </c>
    </row>
    <row r="18" spans="1:5" ht="15.6" x14ac:dyDescent="0.3">
      <c r="A18" s="69">
        <v>45492</v>
      </c>
      <c r="B18" s="2" t="s">
        <v>9</v>
      </c>
      <c r="C18" s="2">
        <v>50</v>
      </c>
      <c r="D18" s="2" t="s">
        <v>10</v>
      </c>
      <c r="E18" s="2" t="s">
        <v>11</v>
      </c>
    </row>
    <row r="19" spans="1:5" ht="15.6" x14ac:dyDescent="0.3">
      <c r="A19" s="69">
        <v>45492</v>
      </c>
      <c r="B19" s="2" t="s">
        <v>136</v>
      </c>
      <c r="C19" s="70">
        <v>500</v>
      </c>
      <c r="D19" s="2" t="s">
        <v>15</v>
      </c>
      <c r="E19" s="2" t="s">
        <v>11</v>
      </c>
    </row>
    <row r="20" spans="1:5" ht="15.6" x14ac:dyDescent="0.3">
      <c r="A20" s="69">
        <v>45492</v>
      </c>
      <c r="B20" s="2" t="s">
        <v>25</v>
      </c>
      <c r="C20" s="70">
        <v>400</v>
      </c>
      <c r="D20" s="2" t="s">
        <v>15</v>
      </c>
      <c r="E20" s="2" t="s">
        <v>11</v>
      </c>
    </row>
    <row r="21" spans="1:5" ht="15.6" x14ac:dyDescent="0.3">
      <c r="A21" s="69">
        <v>45493</v>
      </c>
      <c r="B21" s="2" t="s">
        <v>9</v>
      </c>
      <c r="C21" s="2">
        <v>50</v>
      </c>
      <c r="D21" s="2" t="s">
        <v>15</v>
      </c>
      <c r="E21" s="2" t="s">
        <v>11</v>
      </c>
    </row>
    <row r="22" spans="1:5" ht="15.6" x14ac:dyDescent="0.3">
      <c r="A22" s="69">
        <v>45495</v>
      </c>
      <c r="B22" s="2" t="s">
        <v>135</v>
      </c>
      <c r="C22" s="2">
        <v>1100</v>
      </c>
      <c r="D22" s="2" t="s">
        <v>10</v>
      </c>
      <c r="E22" s="2" t="s">
        <v>11</v>
      </c>
    </row>
    <row r="23" spans="1:5" ht="15.6" x14ac:dyDescent="0.3">
      <c r="A23" s="69">
        <v>45495</v>
      </c>
      <c r="B23" s="2" t="s">
        <v>9</v>
      </c>
      <c r="C23" s="2">
        <v>50</v>
      </c>
      <c r="D23" s="2" t="s">
        <v>15</v>
      </c>
      <c r="E23" s="2" t="s">
        <v>11</v>
      </c>
    </row>
    <row r="24" spans="1:5" ht="15.6" x14ac:dyDescent="0.3">
      <c r="A24" s="69">
        <v>45495</v>
      </c>
      <c r="B24" s="2" t="s">
        <v>19</v>
      </c>
      <c r="C24" s="2">
        <v>450</v>
      </c>
      <c r="D24" s="2" t="s">
        <v>15</v>
      </c>
      <c r="E2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8A7A-419D-402A-AAD2-DCD1D3C5443A}">
  <dimension ref="A1:K62"/>
  <sheetViews>
    <sheetView workbookViewId="0">
      <selection activeCell="E22" sqref="E22"/>
    </sheetView>
  </sheetViews>
  <sheetFormatPr defaultRowHeight="14.4" x14ac:dyDescent="0.3"/>
  <cols>
    <col min="1" max="1" width="20.6640625" bestFit="1" customWidth="1"/>
    <col min="2" max="2" width="19.44140625" customWidth="1"/>
    <col min="3" max="3" width="16.88671875" customWidth="1"/>
    <col min="5" max="5" width="19.77734375" bestFit="1" customWidth="1"/>
    <col min="6" max="6" width="11.77734375" bestFit="1" customWidth="1"/>
    <col min="7" max="7" width="12.6640625" bestFit="1" customWidth="1"/>
    <col min="9" max="9" width="20.6640625" bestFit="1" customWidth="1"/>
    <col min="10" max="10" width="11.77734375" bestFit="1" customWidth="1"/>
    <col min="11" max="11" width="12.6640625" bestFit="1" customWidth="1"/>
  </cols>
  <sheetData>
    <row r="1" spans="1:11" ht="15.6" x14ac:dyDescent="0.3">
      <c r="A1" s="75" t="s">
        <v>148</v>
      </c>
      <c r="B1" s="75"/>
      <c r="C1" s="75"/>
      <c r="D1" s="70"/>
      <c r="E1" s="74" t="s">
        <v>147</v>
      </c>
      <c r="F1" s="74"/>
      <c r="G1" s="74"/>
      <c r="H1" s="2"/>
      <c r="I1" s="74" t="s">
        <v>146</v>
      </c>
      <c r="J1" s="74"/>
      <c r="K1" s="74"/>
    </row>
    <row r="2" spans="1:11" ht="15.6" x14ac:dyDescent="0.3">
      <c r="A2" s="72" t="s">
        <v>1</v>
      </c>
      <c r="B2" s="72" t="s">
        <v>145</v>
      </c>
      <c r="C2" s="72" t="s">
        <v>144</v>
      </c>
      <c r="E2" s="72" t="s">
        <v>1</v>
      </c>
      <c r="F2" s="72" t="s">
        <v>145</v>
      </c>
      <c r="G2" s="72" t="s">
        <v>144</v>
      </c>
      <c r="H2" s="7"/>
      <c r="I2" s="72" t="s">
        <v>1</v>
      </c>
      <c r="J2" s="72" t="s">
        <v>145</v>
      </c>
      <c r="K2" s="72" t="s">
        <v>144</v>
      </c>
    </row>
    <row r="3" spans="1:11" ht="15.6" x14ac:dyDescent="0.3">
      <c r="A3" s="72" t="s">
        <v>21</v>
      </c>
      <c r="B3" s="71">
        <v>350</v>
      </c>
      <c r="C3" s="71">
        <v>500</v>
      </c>
      <c r="E3" s="72" t="s">
        <v>52</v>
      </c>
      <c r="F3" s="71">
        <v>1000</v>
      </c>
      <c r="G3" s="71">
        <v>6000</v>
      </c>
      <c r="H3" s="7"/>
      <c r="I3" s="72" t="s">
        <v>21</v>
      </c>
      <c r="J3" s="71">
        <v>350</v>
      </c>
      <c r="K3" s="71">
        <v>500</v>
      </c>
    </row>
    <row r="4" spans="1:11" ht="15.6" x14ac:dyDescent="0.3">
      <c r="A4" s="72" t="s">
        <v>119</v>
      </c>
      <c r="B4" s="71">
        <v>300</v>
      </c>
      <c r="C4" s="71">
        <v>500</v>
      </c>
      <c r="D4" s="2"/>
      <c r="E4" s="72" t="s">
        <v>54</v>
      </c>
      <c r="F4" s="71">
        <v>50</v>
      </c>
      <c r="G4" s="71">
        <v>150</v>
      </c>
      <c r="H4" s="7"/>
      <c r="I4" s="72" t="s">
        <v>119</v>
      </c>
      <c r="J4" s="71">
        <v>300</v>
      </c>
      <c r="K4" s="71">
        <v>500</v>
      </c>
    </row>
    <row r="5" spans="1:11" ht="15.6" x14ac:dyDescent="0.3">
      <c r="A5" s="72" t="s">
        <v>25</v>
      </c>
      <c r="B5" s="71">
        <v>500</v>
      </c>
      <c r="C5" s="71">
        <v>500</v>
      </c>
      <c r="D5" s="2"/>
      <c r="E5" s="72" t="s">
        <v>57</v>
      </c>
      <c r="F5" s="71">
        <v>200</v>
      </c>
      <c r="G5" s="71">
        <v>300</v>
      </c>
      <c r="H5" s="7"/>
      <c r="I5" s="72" t="s">
        <v>25</v>
      </c>
      <c r="J5" s="71">
        <v>500</v>
      </c>
      <c r="K5" s="71">
        <v>500</v>
      </c>
    </row>
    <row r="6" spans="1:11" ht="15.6" x14ac:dyDescent="0.3">
      <c r="A6" s="72" t="s">
        <v>62</v>
      </c>
      <c r="B6" s="71">
        <v>700</v>
      </c>
      <c r="C6" s="71">
        <v>700</v>
      </c>
      <c r="D6" s="2"/>
      <c r="E6" s="72" t="s">
        <v>61</v>
      </c>
      <c r="F6" s="71">
        <v>500</v>
      </c>
      <c r="G6" s="71">
        <v>500</v>
      </c>
      <c r="H6" s="7"/>
      <c r="I6" s="72" t="s">
        <v>62</v>
      </c>
      <c r="J6" s="71">
        <v>700</v>
      </c>
      <c r="K6" s="71">
        <v>700</v>
      </c>
    </row>
    <row r="7" spans="1:11" ht="15.6" x14ac:dyDescent="0.3">
      <c r="A7" s="72" t="s">
        <v>130</v>
      </c>
      <c r="B7" s="71">
        <v>600</v>
      </c>
      <c r="C7" s="71">
        <v>1000</v>
      </c>
      <c r="D7" s="2"/>
      <c r="E7" s="72" t="s">
        <v>64</v>
      </c>
      <c r="F7" s="71">
        <v>300</v>
      </c>
      <c r="G7" s="71">
        <v>500</v>
      </c>
      <c r="H7" s="7"/>
      <c r="I7" s="72" t="s">
        <v>130</v>
      </c>
      <c r="J7" s="71">
        <v>600</v>
      </c>
      <c r="K7" s="71">
        <v>1000</v>
      </c>
    </row>
    <row r="8" spans="1:11" ht="15.6" x14ac:dyDescent="0.3">
      <c r="A8" s="72" t="s">
        <v>58</v>
      </c>
      <c r="B8" s="71">
        <v>70</v>
      </c>
      <c r="C8" s="71">
        <v>140</v>
      </c>
      <c r="D8" s="2"/>
      <c r="E8" s="72" t="s">
        <v>67</v>
      </c>
      <c r="F8" s="71">
        <v>100</v>
      </c>
      <c r="G8" s="71">
        <v>300</v>
      </c>
      <c r="H8" s="7"/>
      <c r="I8" s="72" t="s">
        <v>58</v>
      </c>
      <c r="J8" s="71">
        <v>70</v>
      </c>
      <c r="K8" s="71">
        <v>140</v>
      </c>
    </row>
    <row r="9" spans="1:11" ht="15.6" x14ac:dyDescent="0.3">
      <c r="A9" s="72" t="s">
        <v>9</v>
      </c>
      <c r="B9" s="71">
        <v>60</v>
      </c>
      <c r="C9" s="71">
        <v>70</v>
      </c>
      <c r="D9" s="2"/>
      <c r="E9" s="72" t="s">
        <v>82</v>
      </c>
      <c r="F9" s="71">
        <v>500</v>
      </c>
      <c r="G9" s="71">
        <v>2000</v>
      </c>
      <c r="H9" s="7"/>
      <c r="I9" s="72" t="s">
        <v>9</v>
      </c>
      <c r="J9" s="71">
        <v>60</v>
      </c>
      <c r="K9" s="71">
        <v>70</v>
      </c>
    </row>
    <row r="10" spans="1:11" ht="15.6" x14ac:dyDescent="0.3">
      <c r="A10" s="72" t="s">
        <v>97</v>
      </c>
      <c r="B10" s="71">
        <v>1500</v>
      </c>
      <c r="C10" s="71">
        <v>2000</v>
      </c>
      <c r="D10" s="2"/>
      <c r="E10" s="72" t="s">
        <v>55</v>
      </c>
      <c r="F10" s="71">
        <v>600</v>
      </c>
      <c r="G10" s="71">
        <v>800</v>
      </c>
      <c r="H10" s="7"/>
      <c r="I10" s="72" t="s">
        <v>97</v>
      </c>
      <c r="J10" s="71">
        <v>1500</v>
      </c>
      <c r="K10" s="71">
        <v>2000</v>
      </c>
    </row>
    <row r="11" spans="1:11" ht="15.6" x14ac:dyDescent="0.3">
      <c r="A11" s="72" t="s">
        <v>125</v>
      </c>
      <c r="B11" s="71">
        <v>600</v>
      </c>
      <c r="C11" s="71">
        <v>600</v>
      </c>
      <c r="D11" s="2"/>
      <c r="E11" s="72" t="s">
        <v>77</v>
      </c>
      <c r="F11" s="71">
        <v>1000</v>
      </c>
      <c r="G11" s="71">
        <v>1500</v>
      </c>
      <c r="H11" s="7"/>
      <c r="I11" s="72" t="s">
        <v>125</v>
      </c>
      <c r="J11" s="71">
        <v>600</v>
      </c>
      <c r="K11" s="71">
        <v>600</v>
      </c>
    </row>
    <row r="12" spans="1:11" ht="15.6" x14ac:dyDescent="0.3">
      <c r="A12" s="72" t="s">
        <v>108</v>
      </c>
      <c r="B12" s="71">
        <v>3000</v>
      </c>
      <c r="C12" s="71">
        <v>7000</v>
      </c>
      <c r="D12" s="2"/>
      <c r="E12" s="72" t="s">
        <v>73</v>
      </c>
      <c r="F12" s="71">
        <v>30</v>
      </c>
      <c r="G12" s="71">
        <v>40</v>
      </c>
      <c r="H12" s="7"/>
      <c r="I12" s="72" t="s">
        <v>108</v>
      </c>
      <c r="J12" s="71">
        <v>3000</v>
      </c>
      <c r="K12" s="71">
        <v>7000</v>
      </c>
    </row>
    <row r="13" spans="1:11" ht="15.6" x14ac:dyDescent="0.3">
      <c r="A13" s="72" t="s">
        <v>132</v>
      </c>
      <c r="B13" s="71">
        <v>900</v>
      </c>
      <c r="C13" s="71">
        <v>1100</v>
      </c>
      <c r="D13" s="2"/>
      <c r="E13" s="72" t="s">
        <v>79</v>
      </c>
      <c r="F13" s="71">
        <v>350</v>
      </c>
      <c r="G13" s="71">
        <v>350</v>
      </c>
      <c r="H13" s="7"/>
      <c r="I13" s="72" t="s">
        <v>132</v>
      </c>
      <c r="J13" s="71">
        <v>900</v>
      </c>
      <c r="K13" s="71">
        <v>1100</v>
      </c>
    </row>
    <row r="14" spans="1:11" ht="15.6" x14ac:dyDescent="0.3">
      <c r="A14" s="72" t="s">
        <v>104</v>
      </c>
      <c r="B14" s="71">
        <v>2000</v>
      </c>
      <c r="C14" s="71">
        <v>2000</v>
      </c>
      <c r="D14" s="73"/>
      <c r="E14" s="72" t="s">
        <v>59</v>
      </c>
      <c r="F14" s="71">
        <v>200</v>
      </c>
      <c r="G14" s="71">
        <v>500</v>
      </c>
      <c r="H14" s="7"/>
      <c r="I14" s="72" t="s">
        <v>104</v>
      </c>
      <c r="J14" s="71">
        <v>2000</v>
      </c>
      <c r="K14" s="71">
        <v>2000</v>
      </c>
    </row>
    <row r="15" spans="1:11" ht="15.6" x14ac:dyDescent="0.3">
      <c r="A15" s="72" t="s">
        <v>69</v>
      </c>
      <c r="B15" s="71">
        <v>1000</v>
      </c>
      <c r="C15" s="71">
        <v>1000</v>
      </c>
      <c r="D15" s="2"/>
      <c r="E15" s="72" t="s">
        <v>66</v>
      </c>
      <c r="F15" s="71">
        <v>100</v>
      </c>
      <c r="G15" s="71">
        <v>500</v>
      </c>
      <c r="H15" s="7"/>
      <c r="I15" s="72" t="s">
        <v>69</v>
      </c>
      <c r="J15" s="71">
        <v>1000</v>
      </c>
      <c r="K15" s="71">
        <v>1000</v>
      </c>
    </row>
    <row r="16" spans="1:11" ht="15.6" x14ac:dyDescent="0.3">
      <c r="A16" s="72" t="s">
        <v>93</v>
      </c>
      <c r="B16" s="71">
        <v>1100</v>
      </c>
      <c r="C16" s="71">
        <v>1100</v>
      </c>
      <c r="D16" s="2"/>
      <c r="E16" s="72" t="s">
        <v>141</v>
      </c>
      <c r="F16" s="71">
        <v>350</v>
      </c>
      <c r="G16" s="71">
        <v>350</v>
      </c>
      <c r="H16" s="7"/>
      <c r="I16" s="72" t="s">
        <v>93</v>
      </c>
      <c r="J16" s="71">
        <v>1100</v>
      </c>
      <c r="K16" s="71">
        <v>1100</v>
      </c>
    </row>
    <row r="17" spans="1:11" ht="15.6" x14ac:dyDescent="0.3">
      <c r="A17" s="72" t="s">
        <v>17</v>
      </c>
      <c r="B17" s="71">
        <v>800</v>
      </c>
      <c r="C17" s="71">
        <v>800</v>
      </c>
      <c r="D17" s="2"/>
      <c r="E17" s="72" t="s">
        <v>75</v>
      </c>
      <c r="F17" s="71">
        <v>700</v>
      </c>
      <c r="G17" s="71">
        <v>1000</v>
      </c>
      <c r="H17" s="7"/>
      <c r="I17" s="72" t="s">
        <v>17</v>
      </c>
      <c r="J17" s="71">
        <v>800</v>
      </c>
      <c r="K17" s="71">
        <v>800</v>
      </c>
    </row>
    <row r="18" spans="1:11" ht="15.6" x14ac:dyDescent="0.3">
      <c r="A18" s="72" t="s">
        <v>26</v>
      </c>
      <c r="B18" s="71">
        <v>1100</v>
      </c>
      <c r="C18" s="71">
        <v>1100</v>
      </c>
      <c r="D18" s="2"/>
      <c r="F18" s="2"/>
      <c r="G18" s="2"/>
      <c r="H18" s="7"/>
      <c r="I18" s="72" t="s">
        <v>26</v>
      </c>
      <c r="J18" s="71">
        <v>1100</v>
      </c>
      <c r="K18" s="71">
        <v>1100</v>
      </c>
    </row>
    <row r="19" spans="1:11" ht="15.6" x14ac:dyDescent="0.3">
      <c r="A19" s="72" t="s">
        <v>113</v>
      </c>
      <c r="B19" s="71">
        <v>800</v>
      </c>
      <c r="C19" s="71">
        <v>800</v>
      </c>
      <c r="D19" s="2"/>
      <c r="H19" s="7"/>
      <c r="I19" s="72" t="s">
        <v>113</v>
      </c>
      <c r="J19" s="71">
        <v>800</v>
      </c>
      <c r="K19" s="71">
        <v>800</v>
      </c>
    </row>
    <row r="20" spans="1:11" ht="15.6" x14ac:dyDescent="0.3">
      <c r="A20" s="72" t="s">
        <v>72</v>
      </c>
      <c r="B20" s="71">
        <v>900</v>
      </c>
      <c r="C20" s="71">
        <v>900</v>
      </c>
      <c r="D20" s="2"/>
      <c r="H20" s="7"/>
      <c r="I20" s="72" t="s">
        <v>72</v>
      </c>
      <c r="J20" s="71">
        <v>900</v>
      </c>
      <c r="K20" s="71">
        <v>900</v>
      </c>
    </row>
    <row r="21" spans="1:11" ht="15.6" x14ac:dyDescent="0.3">
      <c r="A21" s="72" t="s">
        <v>100</v>
      </c>
      <c r="B21" s="71">
        <v>700</v>
      </c>
      <c r="C21" s="71">
        <v>700</v>
      </c>
      <c r="D21" s="2"/>
      <c r="H21" s="7"/>
      <c r="I21" s="72" t="s">
        <v>100</v>
      </c>
      <c r="J21" s="71">
        <v>700</v>
      </c>
      <c r="K21" s="71">
        <v>700</v>
      </c>
    </row>
    <row r="22" spans="1:11" ht="15.6" x14ac:dyDescent="0.3">
      <c r="A22" s="72" t="s">
        <v>71</v>
      </c>
      <c r="B22" s="71">
        <v>1000</v>
      </c>
      <c r="C22" s="71">
        <v>1000</v>
      </c>
      <c r="D22" s="2"/>
      <c r="H22" s="7"/>
      <c r="I22" s="72" t="s">
        <v>71</v>
      </c>
      <c r="J22" s="71">
        <v>1000</v>
      </c>
      <c r="K22" s="71">
        <v>1000</v>
      </c>
    </row>
    <row r="23" spans="1:11" ht="15.6" x14ac:dyDescent="0.3">
      <c r="A23" s="72" t="s">
        <v>84</v>
      </c>
      <c r="B23" s="71">
        <v>850</v>
      </c>
      <c r="C23" s="71">
        <v>850</v>
      </c>
      <c r="D23" s="7"/>
      <c r="H23" s="7"/>
      <c r="I23" s="72" t="s">
        <v>84</v>
      </c>
      <c r="J23" s="71">
        <v>850</v>
      </c>
      <c r="K23" s="71">
        <v>850</v>
      </c>
    </row>
    <row r="24" spans="1:11" ht="15.6" x14ac:dyDescent="0.3">
      <c r="A24" s="72" t="s">
        <v>85</v>
      </c>
      <c r="B24" s="71">
        <v>150</v>
      </c>
      <c r="C24" s="71">
        <v>200</v>
      </c>
      <c r="D24" s="2"/>
      <c r="H24" s="7"/>
      <c r="I24" s="72" t="s">
        <v>85</v>
      </c>
      <c r="J24" s="71">
        <v>150</v>
      </c>
      <c r="K24" s="71">
        <v>200</v>
      </c>
    </row>
    <row r="25" spans="1:11" ht="15.6" x14ac:dyDescent="0.3">
      <c r="A25" s="72" t="s">
        <v>86</v>
      </c>
      <c r="B25" s="71">
        <v>250</v>
      </c>
      <c r="C25" s="71">
        <v>250</v>
      </c>
      <c r="D25" s="2"/>
      <c r="H25" s="7"/>
      <c r="I25" s="72" t="s">
        <v>86</v>
      </c>
      <c r="J25" s="71">
        <v>250</v>
      </c>
      <c r="K25" s="71">
        <v>250</v>
      </c>
    </row>
    <row r="26" spans="1:11" ht="15.6" x14ac:dyDescent="0.3">
      <c r="A26" s="72" t="s">
        <v>116</v>
      </c>
      <c r="B26" s="71">
        <v>600</v>
      </c>
      <c r="C26" s="71">
        <v>600</v>
      </c>
      <c r="D26" s="2"/>
      <c r="H26" s="7"/>
      <c r="I26" s="72" t="s">
        <v>116</v>
      </c>
      <c r="J26" s="71">
        <v>600</v>
      </c>
      <c r="K26" s="71">
        <v>600</v>
      </c>
    </row>
    <row r="27" spans="1:11" ht="15.6" x14ac:dyDescent="0.3">
      <c r="A27" s="72" t="s">
        <v>123</v>
      </c>
      <c r="B27" s="71">
        <v>700</v>
      </c>
      <c r="C27" s="71">
        <v>700</v>
      </c>
      <c r="D27" s="2"/>
      <c r="H27" s="7"/>
      <c r="I27" s="72" t="s">
        <v>123</v>
      </c>
      <c r="J27" s="71">
        <v>700</v>
      </c>
      <c r="K27" s="71">
        <v>700</v>
      </c>
    </row>
    <row r="28" spans="1:11" ht="15.6" x14ac:dyDescent="0.3">
      <c r="A28" s="72" t="s">
        <v>24</v>
      </c>
      <c r="B28" s="71">
        <v>500</v>
      </c>
      <c r="C28" s="71">
        <v>500</v>
      </c>
      <c r="D28" s="2"/>
      <c r="H28" s="7"/>
      <c r="I28" s="72" t="s">
        <v>24</v>
      </c>
      <c r="J28" s="71">
        <v>500</v>
      </c>
      <c r="K28" s="71">
        <v>500</v>
      </c>
    </row>
    <row r="29" spans="1:11" ht="15.6" x14ac:dyDescent="0.3">
      <c r="A29" s="72" t="s">
        <v>76</v>
      </c>
      <c r="B29" s="71">
        <v>300</v>
      </c>
      <c r="C29" s="71">
        <v>300</v>
      </c>
      <c r="D29" s="2"/>
      <c r="H29" s="7"/>
      <c r="I29" s="72" t="s">
        <v>76</v>
      </c>
      <c r="J29" s="71">
        <v>300</v>
      </c>
      <c r="K29" s="71">
        <v>300</v>
      </c>
    </row>
    <row r="30" spans="1:11" ht="15.6" x14ac:dyDescent="0.3">
      <c r="A30" s="72" t="s">
        <v>22</v>
      </c>
      <c r="B30" s="71">
        <v>350</v>
      </c>
      <c r="C30" s="71">
        <v>350</v>
      </c>
      <c r="D30" s="2"/>
      <c r="H30" s="7"/>
      <c r="I30" s="72" t="s">
        <v>22</v>
      </c>
      <c r="J30" s="71">
        <v>350</v>
      </c>
      <c r="K30" s="71">
        <v>350</v>
      </c>
    </row>
    <row r="31" spans="1:11" ht="15.6" x14ac:dyDescent="0.3">
      <c r="A31" s="72" t="s">
        <v>102</v>
      </c>
      <c r="B31" s="71">
        <v>300</v>
      </c>
      <c r="C31" s="71">
        <v>300</v>
      </c>
      <c r="D31" s="2"/>
      <c r="H31" s="7"/>
      <c r="I31" s="72" t="s">
        <v>102</v>
      </c>
      <c r="J31" s="71">
        <v>300</v>
      </c>
      <c r="K31" s="71">
        <v>300</v>
      </c>
    </row>
    <row r="32" spans="1:11" ht="15.6" x14ac:dyDescent="0.3">
      <c r="A32" s="72" t="s">
        <v>117</v>
      </c>
      <c r="B32" s="71">
        <v>1000</v>
      </c>
      <c r="C32" s="71">
        <v>1000</v>
      </c>
      <c r="D32" s="2"/>
      <c r="H32" s="7"/>
      <c r="I32" s="72" t="s">
        <v>117</v>
      </c>
      <c r="J32" s="71">
        <v>1000</v>
      </c>
      <c r="K32" s="71">
        <v>1000</v>
      </c>
    </row>
    <row r="33" spans="1:11" ht="15.6" x14ac:dyDescent="0.3">
      <c r="A33" s="72" t="s">
        <v>88</v>
      </c>
      <c r="B33" s="71">
        <v>3500</v>
      </c>
      <c r="C33" s="71">
        <v>3500</v>
      </c>
      <c r="D33" s="2"/>
      <c r="H33" s="7"/>
      <c r="I33" s="72" t="s">
        <v>88</v>
      </c>
      <c r="J33" s="71">
        <v>3500</v>
      </c>
      <c r="K33" s="71">
        <v>3500</v>
      </c>
    </row>
    <row r="34" spans="1:11" ht="15.6" x14ac:dyDescent="0.3">
      <c r="A34" s="72" t="s">
        <v>143</v>
      </c>
      <c r="B34" s="71">
        <v>500</v>
      </c>
      <c r="C34" s="71">
        <v>500</v>
      </c>
      <c r="D34" s="2"/>
      <c r="H34" s="7"/>
      <c r="I34" s="72" t="s">
        <v>143</v>
      </c>
      <c r="J34" s="71">
        <v>500</v>
      </c>
      <c r="K34" s="71">
        <v>500</v>
      </c>
    </row>
    <row r="35" spans="1:11" ht="15.6" x14ac:dyDescent="0.3">
      <c r="A35" s="72" t="s">
        <v>142</v>
      </c>
      <c r="B35" s="71">
        <v>1000</v>
      </c>
      <c r="C35" s="71">
        <v>1200</v>
      </c>
      <c r="D35" s="2"/>
      <c r="H35" s="7"/>
      <c r="I35" s="72" t="s">
        <v>142</v>
      </c>
      <c r="J35" s="71">
        <v>1000</v>
      </c>
      <c r="K35" s="71">
        <v>1200</v>
      </c>
    </row>
    <row r="36" spans="1:11" ht="15.6" x14ac:dyDescent="0.3">
      <c r="A36" s="72" t="s">
        <v>112</v>
      </c>
      <c r="B36" s="71">
        <v>300</v>
      </c>
      <c r="C36" s="71">
        <v>300</v>
      </c>
      <c r="D36" s="2"/>
      <c r="H36" s="7"/>
      <c r="I36" s="72" t="s">
        <v>112</v>
      </c>
      <c r="J36" s="71">
        <v>300</v>
      </c>
      <c r="K36" s="71">
        <v>300</v>
      </c>
    </row>
    <row r="37" spans="1:11" ht="15.6" x14ac:dyDescent="0.3">
      <c r="A37" s="72" t="s">
        <v>23</v>
      </c>
      <c r="B37" s="71">
        <v>800</v>
      </c>
      <c r="C37" s="71">
        <v>1000</v>
      </c>
      <c r="D37" s="2"/>
      <c r="H37" s="7"/>
      <c r="I37" s="72" t="s">
        <v>23</v>
      </c>
      <c r="J37" s="71">
        <v>800</v>
      </c>
      <c r="K37" s="71">
        <v>1000</v>
      </c>
    </row>
    <row r="38" spans="1:11" ht="15.6" x14ac:dyDescent="0.3">
      <c r="A38" s="72" t="s">
        <v>120</v>
      </c>
      <c r="B38" s="71">
        <v>1000</v>
      </c>
      <c r="C38" s="71">
        <v>2000</v>
      </c>
      <c r="D38" s="2"/>
      <c r="H38" s="7"/>
      <c r="I38" s="72" t="s">
        <v>120</v>
      </c>
      <c r="J38" s="71">
        <v>1000</v>
      </c>
      <c r="K38" s="71">
        <v>2000</v>
      </c>
    </row>
    <row r="39" spans="1:11" ht="15.6" x14ac:dyDescent="0.3">
      <c r="A39" s="72" t="s">
        <v>87</v>
      </c>
      <c r="B39" s="71">
        <v>1000</v>
      </c>
      <c r="C39" s="71">
        <v>1000</v>
      </c>
      <c r="D39" s="2"/>
      <c r="H39" s="7"/>
      <c r="I39" s="72" t="s">
        <v>87</v>
      </c>
      <c r="J39" s="71">
        <v>1000</v>
      </c>
      <c r="K39" s="71">
        <v>1000</v>
      </c>
    </row>
    <row r="40" spans="1:11" ht="15.6" x14ac:dyDescent="0.3">
      <c r="A40" s="72" t="s">
        <v>90</v>
      </c>
      <c r="B40" s="71">
        <v>300</v>
      </c>
      <c r="C40" s="71">
        <v>500</v>
      </c>
      <c r="D40" s="2"/>
      <c r="H40" s="7"/>
      <c r="I40" s="72" t="s">
        <v>90</v>
      </c>
      <c r="J40" s="71">
        <v>300</v>
      </c>
      <c r="K40" s="71">
        <v>500</v>
      </c>
    </row>
    <row r="41" spans="1:11" ht="15.6" x14ac:dyDescent="0.3">
      <c r="A41" s="72" t="s">
        <v>91</v>
      </c>
      <c r="B41" s="71">
        <v>400</v>
      </c>
      <c r="C41" s="71">
        <v>400</v>
      </c>
      <c r="D41" s="2"/>
      <c r="H41" s="7"/>
      <c r="I41" s="72" t="s">
        <v>91</v>
      </c>
      <c r="J41" s="71">
        <v>400</v>
      </c>
      <c r="K41" s="71">
        <v>400</v>
      </c>
    </row>
    <row r="42" spans="1:11" ht="15.6" x14ac:dyDescent="0.3">
      <c r="A42" s="72" t="s">
        <v>92</v>
      </c>
      <c r="B42" s="71">
        <v>1000</v>
      </c>
      <c r="C42" s="71">
        <v>1000</v>
      </c>
      <c r="D42" s="2"/>
      <c r="H42" s="7"/>
      <c r="I42" s="72" t="s">
        <v>92</v>
      </c>
      <c r="J42" s="71">
        <v>1000</v>
      </c>
      <c r="K42" s="71">
        <v>1000</v>
      </c>
    </row>
    <row r="43" spans="1:11" ht="15.6" x14ac:dyDescent="0.3">
      <c r="A43" s="72" t="s">
        <v>19</v>
      </c>
      <c r="B43" s="71">
        <v>350</v>
      </c>
      <c r="C43" s="71">
        <v>700</v>
      </c>
      <c r="D43" s="2"/>
      <c r="H43" s="7"/>
      <c r="I43" s="72" t="s">
        <v>19</v>
      </c>
      <c r="J43" s="71">
        <v>350</v>
      </c>
      <c r="K43" s="71">
        <v>700</v>
      </c>
    </row>
    <row r="44" spans="1:11" ht="15.6" x14ac:dyDescent="0.3">
      <c r="A44" s="72" t="s">
        <v>16</v>
      </c>
      <c r="B44" s="71">
        <v>3000</v>
      </c>
      <c r="C44" s="71">
        <v>5000</v>
      </c>
      <c r="D44" s="2"/>
      <c r="H44" s="7"/>
      <c r="I44" s="72" t="s">
        <v>16</v>
      </c>
      <c r="J44" s="71">
        <v>3000</v>
      </c>
      <c r="K44" s="71">
        <v>5000</v>
      </c>
    </row>
    <row r="45" spans="1:11" ht="15.6" x14ac:dyDescent="0.3">
      <c r="A45" s="72" t="s">
        <v>81</v>
      </c>
      <c r="B45" s="71">
        <v>5000</v>
      </c>
      <c r="C45" s="71">
        <v>12000</v>
      </c>
      <c r="D45" s="2"/>
      <c r="H45" s="7"/>
      <c r="I45" s="72" t="s">
        <v>81</v>
      </c>
      <c r="J45" s="71">
        <v>5000</v>
      </c>
      <c r="K45" s="71">
        <v>12000</v>
      </c>
    </row>
    <row r="46" spans="1:11" ht="15.6" x14ac:dyDescent="0.3">
      <c r="A46" s="72" t="s">
        <v>78</v>
      </c>
      <c r="B46" s="71">
        <v>1000</v>
      </c>
      <c r="C46" s="71">
        <v>2000</v>
      </c>
      <c r="D46" s="2"/>
      <c r="H46" s="2"/>
      <c r="I46" s="72" t="s">
        <v>78</v>
      </c>
      <c r="J46" s="71">
        <v>1000</v>
      </c>
      <c r="K46" s="71">
        <v>2000</v>
      </c>
    </row>
    <row r="47" spans="1:11" ht="15.6" x14ac:dyDescent="0.3">
      <c r="A47" s="72" t="s">
        <v>89</v>
      </c>
      <c r="B47" s="71">
        <v>3000</v>
      </c>
      <c r="C47" s="71">
        <v>4000</v>
      </c>
      <c r="D47" s="7"/>
      <c r="H47" s="11"/>
      <c r="I47" s="72" t="s">
        <v>89</v>
      </c>
      <c r="J47" s="71">
        <v>3000</v>
      </c>
      <c r="K47" s="71">
        <v>4000</v>
      </c>
    </row>
    <row r="48" spans="1:11" ht="15.6" x14ac:dyDescent="0.3">
      <c r="A48" s="72" t="s">
        <v>52</v>
      </c>
      <c r="B48" s="71">
        <v>1000</v>
      </c>
      <c r="C48" s="71">
        <v>6000</v>
      </c>
      <c r="D48" s="2"/>
      <c r="H48" s="11"/>
      <c r="I48" s="2"/>
      <c r="J48" s="6"/>
      <c r="K48" s="6"/>
    </row>
    <row r="49" spans="1:11" ht="15.6" x14ac:dyDescent="0.3">
      <c r="A49" s="72" t="s">
        <v>54</v>
      </c>
      <c r="B49" s="71">
        <v>50</v>
      </c>
      <c r="C49" s="71">
        <v>150</v>
      </c>
      <c r="D49" s="2"/>
      <c r="H49" s="11"/>
      <c r="I49" s="2"/>
      <c r="J49" s="6"/>
      <c r="K49" s="6"/>
    </row>
    <row r="50" spans="1:11" ht="15.6" x14ac:dyDescent="0.3">
      <c r="A50" s="72" t="s">
        <v>57</v>
      </c>
      <c r="B50" s="71">
        <v>200</v>
      </c>
      <c r="C50" s="71">
        <v>300</v>
      </c>
      <c r="D50" s="7"/>
      <c r="H50" s="11"/>
      <c r="I50" s="2"/>
      <c r="J50" s="6"/>
      <c r="K50" s="6"/>
    </row>
    <row r="51" spans="1:11" ht="15.6" x14ac:dyDescent="0.3">
      <c r="A51" s="72" t="s">
        <v>61</v>
      </c>
      <c r="B51" s="71">
        <v>500</v>
      </c>
      <c r="C51" s="71">
        <v>500</v>
      </c>
      <c r="D51" s="2"/>
      <c r="H51" s="11"/>
      <c r="I51" s="2"/>
      <c r="J51" s="6"/>
      <c r="K51" s="6"/>
    </row>
    <row r="52" spans="1:11" ht="15.6" x14ac:dyDescent="0.3">
      <c r="A52" s="72" t="s">
        <v>64</v>
      </c>
      <c r="B52" s="71">
        <v>300</v>
      </c>
      <c r="C52" s="71">
        <v>500</v>
      </c>
      <c r="D52" s="2"/>
      <c r="H52" s="11"/>
      <c r="I52" s="2"/>
      <c r="J52" s="6"/>
      <c r="K52" s="6"/>
    </row>
    <row r="53" spans="1:11" ht="15.6" x14ac:dyDescent="0.3">
      <c r="A53" s="72" t="s">
        <v>67</v>
      </c>
      <c r="B53" s="71">
        <v>100</v>
      </c>
      <c r="C53" s="71">
        <v>300</v>
      </c>
      <c r="D53" s="2"/>
      <c r="H53" s="11"/>
      <c r="I53" s="2"/>
      <c r="J53" s="6"/>
      <c r="K53" s="6"/>
    </row>
    <row r="54" spans="1:11" ht="15.6" x14ac:dyDescent="0.3">
      <c r="A54" s="72" t="s">
        <v>82</v>
      </c>
      <c r="B54" s="71">
        <v>500</v>
      </c>
      <c r="C54" s="71">
        <v>2000</v>
      </c>
      <c r="D54" s="2"/>
      <c r="H54" s="11"/>
      <c r="I54" s="2"/>
      <c r="J54" s="6"/>
      <c r="K54" s="6"/>
    </row>
    <row r="55" spans="1:11" ht="15.6" x14ac:dyDescent="0.3">
      <c r="A55" s="72" t="s">
        <v>55</v>
      </c>
      <c r="B55" s="71">
        <v>600</v>
      </c>
      <c r="C55" s="71">
        <v>800</v>
      </c>
      <c r="D55" s="2"/>
      <c r="H55" s="11"/>
      <c r="I55" s="2"/>
      <c r="J55" s="6"/>
      <c r="K55" s="6"/>
    </row>
    <row r="56" spans="1:11" ht="15.6" x14ac:dyDescent="0.3">
      <c r="A56" s="72" t="s">
        <v>77</v>
      </c>
      <c r="B56" s="71">
        <v>1000</v>
      </c>
      <c r="C56" s="71">
        <v>1500</v>
      </c>
      <c r="D56" s="2"/>
      <c r="H56" s="11"/>
      <c r="I56" s="2"/>
      <c r="J56" s="6"/>
      <c r="K56" s="6"/>
    </row>
    <row r="57" spans="1:11" ht="15.6" x14ac:dyDescent="0.3">
      <c r="A57" s="72" t="s">
        <v>73</v>
      </c>
      <c r="B57" s="71">
        <v>30</v>
      </c>
      <c r="C57" s="71">
        <v>40</v>
      </c>
      <c r="D57" s="2"/>
      <c r="H57" s="11"/>
      <c r="I57" s="2"/>
      <c r="J57" s="6"/>
      <c r="K57" s="6"/>
    </row>
    <row r="58" spans="1:11" ht="15.6" x14ac:dyDescent="0.3">
      <c r="A58" s="72" t="s">
        <v>79</v>
      </c>
      <c r="B58" s="71">
        <v>350</v>
      </c>
      <c r="C58" s="71">
        <v>350</v>
      </c>
      <c r="D58" s="2"/>
      <c r="H58" s="11"/>
      <c r="I58" s="2"/>
      <c r="J58" s="6"/>
      <c r="K58" s="6"/>
    </row>
    <row r="59" spans="1:11" ht="15.6" x14ac:dyDescent="0.3">
      <c r="A59" s="72" t="s">
        <v>59</v>
      </c>
      <c r="B59" s="71">
        <v>200</v>
      </c>
      <c r="C59" s="71">
        <v>500</v>
      </c>
      <c r="D59" s="2"/>
      <c r="H59" s="11"/>
      <c r="I59" s="2"/>
      <c r="J59" s="6"/>
      <c r="K59" s="6"/>
    </row>
    <row r="60" spans="1:11" ht="15.6" x14ac:dyDescent="0.3">
      <c r="A60" s="72" t="s">
        <v>66</v>
      </c>
      <c r="B60" s="71">
        <v>100</v>
      </c>
      <c r="C60" s="71">
        <v>500</v>
      </c>
      <c r="D60" s="2"/>
      <c r="H60" s="11"/>
      <c r="I60" s="2"/>
      <c r="J60" s="6"/>
      <c r="K60" s="6"/>
    </row>
    <row r="61" spans="1:11" ht="15.6" x14ac:dyDescent="0.3">
      <c r="A61" s="72" t="s">
        <v>141</v>
      </c>
      <c r="B61" s="71">
        <v>350</v>
      </c>
      <c r="C61" s="71">
        <v>350</v>
      </c>
      <c r="D61" s="2"/>
      <c r="I61" s="2"/>
      <c r="J61" s="6"/>
      <c r="K61" s="6"/>
    </row>
    <row r="62" spans="1:11" ht="15.6" x14ac:dyDescent="0.3">
      <c r="A62" s="72" t="s">
        <v>75</v>
      </c>
      <c r="B62" s="71">
        <v>700</v>
      </c>
      <c r="C62" s="71">
        <v>1000</v>
      </c>
      <c r="D62" s="2"/>
      <c r="I62" s="2"/>
      <c r="J62" s="6"/>
      <c r="K62" s="6"/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7177-76B0-4B37-81B1-9ABAF8D17C56}">
  <dimension ref="A1:K25"/>
  <sheetViews>
    <sheetView topLeftCell="D1" workbookViewId="0">
      <selection activeCell="C20" sqref="C20"/>
    </sheetView>
  </sheetViews>
  <sheetFormatPr defaultRowHeight="14.4" x14ac:dyDescent="0.3"/>
  <cols>
    <col min="1" max="1" width="20.109375" customWidth="1"/>
    <col min="2" max="2" width="25.21875" customWidth="1"/>
    <col min="3" max="3" width="19.5546875" customWidth="1"/>
    <col min="4" max="4" width="18.44140625" bestFit="1" customWidth="1"/>
    <col min="5" max="5" width="18.88671875" customWidth="1"/>
    <col min="6" max="6" width="17.109375" customWidth="1"/>
    <col min="7" max="7" width="17.88671875" style="8" customWidth="1"/>
    <col min="8" max="8" width="14.6640625" customWidth="1"/>
    <col min="9" max="9" width="14.88671875" customWidth="1"/>
    <col min="10" max="10" width="19.44140625" customWidth="1"/>
    <col min="11" max="11" width="13.77734375" customWidth="1"/>
  </cols>
  <sheetData>
    <row r="1" spans="1:11" x14ac:dyDescent="0.3">
      <c r="A1" s="3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27</v>
      </c>
      <c r="K1" s="1" t="s">
        <v>28</v>
      </c>
    </row>
    <row r="2" spans="1:11" ht="15.6" x14ac:dyDescent="0.3">
      <c r="A2" s="4">
        <v>45474</v>
      </c>
      <c r="B2" s="2" t="s">
        <v>9</v>
      </c>
      <c r="C2" s="6">
        <v>70</v>
      </c>
      <c r="D2" s="2" t="s">
        <v>10</v>
      </c>
      <c r="E2" s="2" t="s">
        <v>11</v>
      </c>
      <c r="F2" s="5" t="s">
        <v>12</v>
      </c>
      <c r="G2" s="8" t="s">
        <v>13</v>
      </c>
      <c r="H2" s="5">
        <v>60</v>
      </c>
      <c r="I2" s="5">
        <v>70</v>
      </c>
      <c r="J2" s="5" t="s">
        <v>14</v>
      </c>
      <c r="K2" s="5">
        <v>0</v>
      </c>
    </row>
    <row r="3" spans="1:11" ht="15.6" x14ac:dyDescent="0.3">
      <c r="A3" s="4">
        <v>45474</v>
      </c>
      <c r="B3" s="2" t="s">
        <v>9</v>
      </c>
      <c r="C3" s="6">
        <v>70</v>
      </c>
      <c r="D3" s="2" t="s">
        <v>15</v>
      </c>
      <c r="E3" s="2" t="s">
        <v>11</v>
      </c>
      <c r="F3" s="5" t="s">
        <v>12</v>
      </c>
      <c r="G3" s="8" t="s">
        <v>13</v>
      </c>
      <c r="H3" s="5">
        <v>60</v>
      </c>
      <c r="I3" s="5">
        <v>70</v>
      </c>
      <c r="J3" s="5" t="s">
        <v>14</v>
      </c>
      <c r="K3" s="5">
        <v>0</v>
      </c>
    </row>
    <row r="4" spans="1:11" ht="15.6" x14ac:dyDescent="0.3">
      <c r="A4" s="4">
        <v>45475</v>
      </c>
      <c r="B4" s="2" t="s">
        <v>9</v>
      </c>
      <c r="C4" s="6">
        <v>70</v>
      </c>
      <c r="D4" s="2" t="s">
        <v>15</v>
      </c>
      <c r="E4" s="2" t="s">
        <v>11</v>
      </c>
      <c r="F4" s="5" t="s">
        <v>12</v>
      </c>
      <c r="G4" s="8" t="s">
        <v>13</v>
      </c>
      <c r="H4" s="5">
        <v>60</v>
      </c>
      <c r="I4" s="5">
        <v>70</v>
      </c>
      <c r="J4" s="5" t="s">
        <v>14</v>
      </c>
      <c r="K4" s="5">
        <v>0</v>
      </c>
    </row>
    <row r="5" spans="1:11" ht="15.6" x14ac:dyDescent="0.3">
      <c r="A5" s="4">
        <v>45477</v>
      </c>
      <c r="B5" s="2" t="s">
        <v>9</v>
      </c>
      <c r="C5" s="6">
        <v>60</v>
      </c>
      <c r="D5" s="2" t="s">
        <v>15</v>
      </c>
      <c r="E5" s="2" t="s">
        <v>11</v>
      </c>
      <c r="F5" s="5" t="s">
        <v>12</v>
      </c>
      <c r="G5" s="8" t="s">
        <v>13</v>
      </c>
      <c r="H5" s="5">
        <v>60</v>
      </c>
      <c r="I5" s="5">
        <v>70</v>
      </c>
      <c r="J5" s="5" t="s">
        <v>14</v>
      </c>
      <c r="K5" s="5">
        <v>0</v>
      </c>
    </row>
    <row r="6" spans="1:11" ht="15.6" x14ac:dyDescent="0.3">
      <c r="A6" s="4">
        <v>45480</v>
      </c>
      <c r="B6" s="7" t="s">
        <v>16</v>
      </c>
      <c r="C6" s="6">
        <v>4500</v>
      </c>
      <c r="D6" s="2" t="s">
        <v>15</v>
      </c>
      <c r="E6" s="2" t="s">
        <v>11</v>
      </c>
      <c r="F6" s="5" t="s">
        <v>12</v>
      </c>
      <c r="G6" s="8" t="s">
        <v>13</v>
      </c>
      <c r="H6" s="5">
        <v>3000</v>
      </c>
      <c r="I6" s="5">
        <v>5000</v>
      </c>
      <c r="J6" s="5" t="s">
        <v>14</v>
      </c>
      <c r="K6" s="5">
        <v>0</v>
      </c>
    </row>
    <row r="7" spans="1:11" ht="15.6" x14ac:dyDescent="0.3">
      <c r="A7" s="4">
        <v>45483</v>
      </c>
      <c r="B7" s="7" t="s">
        <v>17</v>
      </c>
      <c r="C7" s="6">
        <v>850</v>
      </c>
      <c r="D7" s="2" t="s">
        <v>15</v>
      </c>
      <c r="E7" s="2" t="s">
        <v>11</v>
      </c>
      <c r="F7" s="5" t="s">
        <v>12</v>
      </c>
      <c r="G7" s="8" t="s">
        <v>13</v>
      </c>
      <c r="H7" s="5">
        <v>800</v>
      </c>
      <c r="I7" s="5">
        <v>800</v>
      </c>
      <c r="J7" s="5" t="s">
        <v>18</v>
      </c>
      <c r="K7" s="5">
        <v>0</v>
      </c>
    </row>
    <row r="8" spans="1:11" ht="15.6" x14ac:dyDescent="0.3">
      <c r="A8" s="4">
        <v>45483</v>
      </c>
      <c r="B8" s="2" t="s">
        <v>19</v>
      </c>
      <c r="C8" s="6">
        <v>140</v>
      </c>
      <c r="D8" s="2" t="s">
        <v>15</v>
      </c>
      <c r="E8" s="2" t="s">
        <v>11</v>
      </c>
      <c r="F8" s="5" t="s">
        <v>12</v>
      </c>
      <c r="G8" s="8" t="s">
        <v>13</v>
      </c>
      <c r="H8" s="5">
        <v>350</v>
      </c>
      <c r="I8" s="5">
        <v>700</v>
      </c>
      <c r="J8" s="5" t="s">
        <v>20</v>
      </c>
      <c r="K8" s="5">
        <v>210</v>
      </c>
    </row>
    <row r="9" spans="1:11" ht="15.6" x14ac:dyDescent="0.3">
      <c r="A9" s="4">
        <v>45483</v>
      </c>
      <c r="B9" s="2" t="s">
        <v>9</v>
      </c>
      <c r="C9" s="6">
        <v>60</v>
      </c>
      <c r="D9" s="2" t="s">
        <v>15</v>
      </c>
      <c r="E9" s="2" t="s">
        <v>11</v>
      </c>
      <c r="F9" s="5" t="s">
        <v>12</v>
      </c>
      <c r="G9" s="8" t="s">
        <v>13</v>
      </c>
      <c r="H9" s="5">
        <v>60</v>
      </c>
      <c r="I9" s="5">
        <v>70</v>
      </c>
      <c r="J9" s="5" t="s">
        <v>14</v>
      </c>
      <c r="K9" s="5">
        <v>0</v>
      </c>
    </row>
    <row r="10" spans="1:11" ht="15.6" x14ac:dyDescent="0.3">
      <c r="A10" s="4">
        <v>45486</v>
      </c>
      <c r="B10" s="2" t="s">
        <v>9</v>
      </c>
      <c r="C10" s="6">
        <v>60</v>
      </c>
      <c r="D10" s="2" t="s">
        <v>10</v>
      </c>
      <c r="E10" s="2" t="s">
        <v>11</v>
      </c>
      <c r="F10" s="5" t="s">
        <v>12</v>
      </c>
      <c r="G10" s="8" t="s">
        <v>13</v>
      </c>
      <c r="H10" s="5">
        <v>60</v>
      </c>
      <c r="I10" s="5">
        <v>70</v>
      </c>
      <c r="J10" s="5" t="s">
        <v>14</v>
      </c>
      <c r="K10" s="5">
        <v>0</v>
      </c>
    </row>
    <row r="11" spans="1:11" ht="15.6" x14ac:dyDescent="0.3">
      <c r="A11" s="4">
        <v>45487</v>
      </c>
      <c r="B11" s="2" t="s">
        <v>9</v>
      </c>
      <c r="C11" s="6">
        <v>60</v>
      </c>
      <c r="D11" s="2" t="s">
        <v>10</v>
      </c>
      <c r="E11" s="2" t="s">
        <v>11</v>
      </c>
      <c r="F11" s="5" t="s">
        <v>12</v>
      </c>
      <c r="G11" s="8" t="s">
        <v>13</v>
      </c>
      <c r="H11" s="5">
        <v>60</v>
      </c>
      <c r="I11" s="5">
        <v>70</v>
      </c>
      <c r="J11" s="5" t="s">
        <v>14</v>
      </c>
      <c r="K11" s="5">
        <v>0</v>
      </c>
    </row>
    <row r="12" spans="1:11" ht="15.6" x14ac:dyDescent="0.3">
      <c r="A12" s="4">
        <v>45488</v>
      </c>
      <c r="B12" s="2" t="s">
        <v>9</v>
      </c>
      <c r="C12" s="6">
        <v>60</v>
      </c>
      <c r="D12" s="2" t="s">
        <v>15</v>
      </c>
      <c r="E12" s="2" t="s">
        <v>11</v>
      </c>
      <c r="F12" s="5" t="s">
        <v>12</v>
      </c>
      <c r="G12" s="8" t="s">
        <v>13</v>
      </c>
      <c r="H12" s="5">
        <v>60</v>
      </c>
      <c r="I12" s="5">
        <v>70</v>
      </c>
      <c r="J12" s="5" t="s">
        <v>14</v>
      </c>
      <c r="K12" s="5">
        <v>0</v>
      </c>
    </row>
    <row r="13" spans="1:11" ht="15.6" x14ac:dyDescent="0.3">
      <c r="A13" s="4">
        <v>45488</v>
      </c>
      <c r="B13" s="2" t="s">
        <v>21</v>
      </c>
      <c r="C13" s="6">
        <v>200</v>
      </c>
      <c r="D13" s="2" t="s">
        <v>15</v>
      </c>
      <c r="E13" s="2" t="s">
        <v>11</v>
      </c>
      <c r="F13" s="5" t="s">
        <v>12</v>
      </c>
      <c r="G13" s="8" t="s">
        <v>13</v>
      </c>
      <c r="H13" s="5">
        <v>350</v>
      </c>
      <c r="I13" s="5">
        <v>500</v>
      </c>
      <c r="J13" s="5" t="s">
        <v>20</v>
      </c>
      <c r="K13" s="5">
        <v>150</v>
      </c>
    </row>
    <row r="14" spans="1:11" ht="15.6" x14ac:dyDescent="0.3">
      <c r="A14" s="4">
        <v>45489</v>
      </c>
      <c r="B14" s="2" t="s">
        <v>9</v>
      </c>
      <c r="C14" s="6">
        <v>60</v>
      </c>
      <c r="D14" s="2" t="s">
        <v>15</v>
      </c>
      <c r="E14" s="2" t="s">
        <v>11</v>
      </c>
      <c r="F14" s="5" t="s">
        <v>12</v>
      </c>
      <c r="G14" s="8" t="s">
        <v>13</v>
      </c>
      <c r="H14" s="5">
        <v>60</v>
      </c>
      <c r="I14" s="5">
        <v>70</v>
      </c>
      <c r="J14" s="5" t="s">
        <v>14</v>
      </c>
      <c r="K14" s="5">
        <v>0</v>
      </c>
    </row>
    <row r="15" spans="1:11" ht="15.6" x14ac:dyDescent="0.3">
      <c r="A15" s="4">
        <v>45489</v>
      </c>
      <c r="B15" s="2" t="s">
        <v>9</v>
      </c>
      <c r="C15" s="6">
        <v>100</v>
      </c>
      <c r="D15" s="2" t="s">
        <v>15</v>
      </c>
      <c r="E15" s="2" t="s">
        <v>11</v>
      </c>
      <c r="F15" s="5" t="s">
        <v>12</v>
      </c>
      <c r="G15" s="8" t="s">
        <v>13</v>
      </c>
      <c r="H15" s="5">
        <v>60</v>
      </c>
      <c r="I15" s="5">
        <v>70</v>
      </c>
      <c r="J15" s="5" t="s">
        <v>18</v>
      </c>
      <c r="K15" s="5">
        <v>0</v>
      </c>
    </row>
    <row r="16" spans="1:11" ht="15.6" x14ac:dyDescent="0.3">
      <c r="A16" s="4">
        <v>45489</v>
      </c>
      <c r="B16" s="2" t="s">
        <v>22</v>
      </c>
      <c r="C16" s="6">
        <v>350</v>
      </c>
      <c r="D16" s="2" t="s">
        <v>15</v>
      </c>
      <c r="E16" s="2" t="s">
        <v>11</v>
      </c>
      <c r="F16" s="5" t="s">
        <v>12</v>
      </c>
      <c r="G16" s="8" t="s">
        <v>13</v>
      </c>
      <c r="H16" s="5">
        <v>350</v>
      </c>
      <c r="I16" s="5">
        <v>350</v>
      </c>
      <c r="J16" s="5" t="s">
        <v>14</v>
      </c>
      <c r="K16" s="5">
        <v>0</v>
      </c>
    </row>
    <row r="17" spans="1:11" ht="15.6" x14ac:dyDescent="0.3">
      <c r="A17" s="4">
        <v>45492</v>
      </c>
      <c r="B17" s="2" t="s">
        <v>23</v>
      </c>
      <c r="C17" s="6">
        <v>700</v>
      </c>
      <c r="D17" s="2" t="s">
        <v>15</v>
      </c>
      <c r="E17" s="2" t="s">
        <v>11</v>
      </c>
      <c r="F17" s="5" t="s">
        <v>12</v>
      </c>
      <c r="G17" s="8" t="s">
        <v>13</v>
      </c>
      <c r="H17" s="5">
        <v>800</v>
      </c>
      <c r="I17" s="5">
        <v>1000</v>
      </c>
      <c r="J17" s="5" t="s">
        <v>20</v>
      </c>
      <c r="K17" s="5">
        <v>100</v>
      </c>
    </row>
    <row r="18" spans="1:11" ht="15.6" x14ac:dyDescent="0.3">
      <c r="A18" s="4">
        <v>45492</v>
      </c>
      <c r="B18" s="2" t="s">
        <v>9</v>
      </c>
      <c r="C18" s="6">
        <v>50</v>
      </c>
      <c r="D18" s="2" t="s">
        <v>10</v>
      </c>
      <c r="E18" s="2" t="s">
        <v>11</v>
      </c>
      <c r="F18" s="5" t="s">
        <v>12</v>
      </c>
      <c r="G18" s="8" t="s">
        <v>13</v>
      </c>
      <c r="H18" s="5">
        <v>60</v>
      </c>
      <c r="I18" s="5">
        <v>70</v>
      </c>
      <c r="J18" s="5" t="s">
        <v>20</v>
      </c>
      <c r="K18" s="5">
        <v>10</v>
      </c>
    </row>
    <row r="19" spans="1:11" ht="15.6" x14ac:dyDescent="0.3">
      <c r="A19" s="4">
        <v>45492</v>
      </c>
      <c r="B19" s="7" t="s">
        <v>24</v>
      </c>
      <c r="C19" s="6">
        <v>500</v>
      </c>
      <c r="D19" s="2" t="s">
        <v>15</v>
      </c>
      <c r="E19" s="2" t="s">
        <v>11</v>
      </c>
      <c r="F19" s="5" t="s">
        <v>12</v>
      </c>
      <c r="G19" s="8" t="s">
        <v>13</v>
      </c>
      <c r="H19" s="5">
        <v>500</v>
      </c>
      <c r="I19" s="5">
        <v>500</v>
      </c>
      <c r="J19" s="5" t="s">
        <v>14</v>
      </c>
      <c r="K19" s="5">
        <v>0</v>
      </c>
    </row>
    <row r="20" spans="1:11" ht="15.6" x14ac:dyDescent="0.3">
      <c r="A20" s="4">
        <v>45492</v>
      </c>
      <c r="B20" s="2" t="s">
        <v>25</v>
      </c>
      <c r="C20" s="6">
        <v>400</v>
      </c>
      <c r="D20" s="2" t="s">
        <v>15</v>
      </c>
      <c r="E20" s="2" t="s">
        <v>11</v>
      </c>
      <c r="F20" s="5" t="s">
        <v>12</v>
      </c>
      <c r="G20" s="8" t="s">
        <v>13</v>
      </c>
      <c r="H20" s="5">
        <v>500</v>
      </c>
      <c r="I20" s="5">
        <v>500</v>
      </c>
      <c r="J20" s="5" t="s">
        <v>20</v>
      </c>
      <c r="K20" s="5">
        <v>100</v>
      </c>
    </row>
    <row r="21" spans="1:11" ht="15.6" x14ac:dyDescent="0.3">
      <c r="A21" s="4">
        <v>45493</v>
      </c>
      <c r="B21" s="2" t="s">
        <v>9</v>
      </c>
      <c r="C21" s="6">
        <v>50</v>
      </c>
      <c r="D21" s="2" t="s">
        <v>15</v>
      </c>
      <c r="E21" s="2" t="s">
        <v>11</v>
      </c>
      <c r="F21" s="5" t="s">
        <v>12</v>
      </c>
      <c r="G21" s="8" t="s">
        <v>13</v>
      </c>
      <c r="H21" s="5">
        <v>60</v>
      </c>
      <c r="I21" s="5">
        <v>70</v>
      </c>
      <c r="J21" s="5" t="s">
        <v>20</v>
      </c>
      <c r="K21" s="5">
        <v>10</v>
      </c>
    </row>
    <row r="22" spans="1:11" ht="15.6" x14ac:dyDescent="0.3">
      <c r="A22" s="4">
        <v>45495</v>
      </c>
      <c r="B22" s="7" t="s">
        <v>26</v>
      </c>
      <c r="C22" s="6">
        <v>1100</v>
      </c>
      <c r="D22" s="2" t="s">
        <v>10</v>
      </c>
      <c r="E22" s="2" t="s">
        <v>11</v>
      </c>
      <c r="F22" s="5" t="s">
        <v>12</v>
      </c>
      <c r="G22" s="8" t="s">
        <v>13</v>
      </c>
      <c r="H22" s="5">
        <v>1100</v>
      </c>
      <c r="I22" s="5">
        <v>1100</v>
      </c>
      <c r="J22" s="5" t="s">
        <v>14</v>
      </c>
      <c r="K22" s="5">
        <v>0</v>
      </c>
    </row>
    <row r="23" spans="1:11" ht="15.6" x14ac:dyDescent="0.3">
      <c r="A23" s="4">
        <v>45495</v>
      </c>
      <c r="B23" s="2" t="s">
        <v>9</v>
      </c>
      <c r="C23" s="6">
        <v>50</v>
      </c>
      <c r="D23" s="2" t="s">
        <v>15</v>
      </c>
      <c r="E23" s="2" t="s">
        <v>11</v>
      </c>
      <c r="F23" s="5" t="s">
        <v>12</v>
      </c>
      <c r="G23" s="8" t="s">
        <v>13</v>
      </c>
      <c r="H23" s="5">
        <v>60</v>
      </c>
      <c r="I23" s="5">
        <v>70</v>
      </c>
      <c r="J23" s="5" t="s">
        <v>20</v>
      </c>
      <c r="K23" s="5">
        <v>10</v>
      </c>
    </row>
    <row r="24" spans="1:11" ht="15.6" x14ac:dyDescent="0.3">
      <c r="A24" s="4">
        <v>45495</v>
      </c>
      <c r="B24" s="2" t="s">
        <v>19</v>
      </c>
      <c r="C24" s="6">
        <v>450</v>
      </c>
      <c r="D24" s="2" t="s">
        <v>15</v>
      </c>
      <c r="E24" s="2" t="s">
        <v>11</v>
      </c>
      <c r="F24" s="5" t="s">
        <v>12</v>
      </c>
      <c r="G24" s="8" t="s">
        <v>13</v>
      </c>
      <c r="H24" s="5">
        <v>350</v>
      </c>
      <c r="I24" s="5">
        <v>700</v>
      </c>
      <c r="J24" s="5" t="s">
        <v>14</v>
      </c>
      <c r="K24" s="5">
        <v>0</v>
      </c>
    </row>
    <row r="25" spans="1:11" ht="15.6" x14ac:dyDescent="0.3">
      <c r="A25" s="4">
        <v>45496</v>
      </c>
      <c r="B25" s="2" t="s">
        <v>23</v>
      </c>
      <c r="C25" s="6">
        <v>740</v>
      </c>
      <c r="D25" s="2" t="s">
        <v>15</v>
      </c>
      <c r="E25" s="2" t="s">
        <v>11</v>
      </c>
      <c r="F25" s="5" t="s">
        <v>12</v>
      </c>
      <c r="G25" s="8" t="s">
        <v>13</v>
      </c>
      <c r="H25" s="5">
        <v>800</v>
      </c>
      <c r="I25" s="5">
        <v>1000</v>
      </c>
      <c r="J25" s="5" t="s">
        <v>20</v>
      </c>
      <c r="K25" s="5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FAC8-5D37-4B1F-9548-D887501F65F4}">
  <dimension ref="A1:AR208"/>
  <sheetViews>
    <sheetView tabSelected="1" topLeftCell="H1" workbookViewId="0">
      <selection activeCell="AE45" sqref="AE45"/>
    </sheetView>
  </sheetViews>
  <sheetFormatPr defaultRowHeight="14.4" x14ac:dyDescent="0.3"/>
  <cols>
    <col min="1" max="1" width="20.77734375" bestFit="1" customWidth="1"/>
    <col min="2" max="2" width="12" bestFit="1" customWidth="1"/>
    <col min="4" max="4" width="18.77734375" bestFit="1" customWidth="1"/>
    <col min="5" max="5" width="15.6640625" bestFit="1" customWidth="1"/>
    <col min="6" max="6" width="16.44140625" bestFit="1" customWidth="1"/>
    <col min="7" max="7" width="13.6640625" bestFit="1" customWidth="1"/>
    <col min="9" max="9" width="18" bestFit="1" customWidth="1"/>
    <col min="10" max="10" width="15.6640625" bestFit="1" customWidth="1"/>
    <col min="11" max="11" width="16.44140625" bestFit="1" customWidth="1"/>
    <col min="12" max="12" width="13.6640625" bestFit="1" customWidth="1"/>
    <col min="14" max="14" width="18.77734375" bestFit="1" customWidth="1"/>
    <col min="15" max="15" width="8" bestFit="1" customWidth="1"/>
    <col min="16" max="16" width="16.44140625" bestFit="1" customWidth="1"/>
    <col min="17" max="17" width="10.109375" bestFit="1" customWidth="1"/>
    <col min="18" max="18" width="12.109375" bestFit="1" customWidth="1"/>
    <col min="20" max="20" width="18" bestFit="1" customWidth="1"/>
    <col min="21" max="21" width="8" bestFit="1" customWidth="1"/>
    <col min="22" max="22" width="16.44140625" bestFit="1" customWidth="1"/>
    <col min="23" max="23" width="10.109375" bestFit="1" customWidth="1"/>
    <col min="24" max="24" width="12.109375" bestFit="1" customWidth="1"/>
    <col min="26" max="26" width="18.77734375" bestFit="1" customWidth="1"/>
    <col min="27" max="27" width="12" customWidth="1"/>
    <col min="28" max="28" width="13" customWidth="1"/>
    <col min="29" max="29" width="11.109375" customWidth="1"/>
    <col min="31" max="31" width="25.33203125" customWidth="1"/>
    <col min="32" max="32" width="12.21875" customWidth="1"/>
    <col min="33" max="33" width="11.5546875" customWidth="1"/>
    <col min="34" max="34" width="10.77734375" bestFit="1" customWidth="1"/>
    <col min="36" max="36" width="23.77734375" customWidth="1"/>
    <col min="37" max="37" width="14.33203125" customWidth="1"/>
    <col min="38" max="38" width="18.21875" customWidth="1"/>
    <col min="39" max="39" width="14.6640625" customWidth="1"/>
    <col min="41" max="41" width="17.6640625" customWidth="1"/>
    <col min="42" max="42" width="10.5546875" bestFit="1" customWidth="1"/>
    <col min="43" max="43" width="17.77734375" bestFit="1" customWidth="1"/>
    <col min="44" max="44" width="12.21875" bestFit="1" customWidth="1"/>
  </cols>
  <sheetData>
    <row r="1" spans="1:44" ht="15.6" x14ac:dyDescent="0.3">
      <c r="A1" s="62" t="s">
        <v>29</v>
      </c>
      <c r="B1" s="62"/>
      <c r="C1" s="2"/>
      <c r="D1" s="62" t="s">
        <v>30</v>
      </c>
      <c r="E1" s="62"/>
      <c r="F1" s="62"/>
      <c r="G1" s="58"/>
      <c r="I1" s="68" t="s">
        <v>31</v>
      </c>
      <c r="J1" s="68"/>
      <c r="K1" s="68"/>
      <c r="L1" s="68"/>
      <c r="M1" s="24"/>
      <c r="N1" s="63" t="s">
        <v>32</v>
      </c>
      <c r="O1" s="64"/>
      <c r="P1" s="64"/>
      <c r="Q1" s="64"/>
      <c r="R1" s="65"/>
      <c r="T1" s="63" t="s">
        <v>33</v>
      </c>
      <c r="U1" s="64"/>
      <c r="V1" s="64"/>
      <c r="W1" s="64"/>
      <c r="X1" s="65"/>
      <c r="Y1" s="56"/>
      <c r="Z1" s="59" t="s">
        <v>34</v>
      </c>
      <c r="AA1" s="60"/>
      <c r="AB1" s="60"/>
      <c r="AC1" s="61"/>
      <c r="AD1" s="57"/>
      <c r="AE1" s="59" t="s">
        <v>35</v>
      </c>
      <c r="AF1" s="60"/>
      <c r="AG1" s="60"/>
      <c r="AH1" s="61"/>
      <c r="AJ1" s="62" t="s">
        <v>36</v>
      </c>
      <c r="AK1" s="62"/>
      <c r="AL1" s="62"/>
      <c r="AM1" s="62"/>
      <c r="AO1" s="62" t="s">
        <v>37</v>
      </c>
      <c r="AP1" s="62"/>
      <c r="AQ1" s="62"/>
      <c r="AR1" s="62"/>
    </row>
    <row r="2" spans="1:44" ht="15.6" x14ac:dyDescent="0.3">
      <c r="A2" s="14" t="s">
        <v>38</v>
      </c>
      <c r="B2" s="14">
        <v>214780</v>
      </c>
      <c r="C2" s="2"/>
      <c r="D2" s="13" t="s">
        <v>39</v>
      </c>
      <c r="E2" s="45" t="s">
        <v>40</v>
      </c>
      <c r="F2" s="13" t="s">
        <v>41</v>
      </c>
      <c r="G2" s="15" t="s">
        <v>42</v>
      </c>
      <c r="I2" s="13" t="s">
        <v>39</v>
      </c>
      <c r="J2" s="47" t="s">
        <v>40</v>
      </c>
      <c r="K2" s="13" t="s">
        <v>41</v>
      </c>
      <c r="L2" s="15" t="s">
        <v>42</v>
      </c>
      <c r="N2" s="12" t="s">
        <v>43</v>
      </c>
      <c r="O2" s="12" t="s">
        <v>44</v>
      </c>
      <c r="P2" s="12" t="s">
        <v>41</v>
      </c>
      <c r="Q2" s="12" t="s">
        <v>45</v>
      </c>
      <c r="R2" s="12" t="s">
        <v>46</v>
      </c>
      <c r="S2" s="8"/>
      <c r="T2" s="12" t="s">
        <v>47</v>
      </c>
      <c r="U2" s="12" t="s">
        <v>44</v>
      </c>
      <c r="V2" s="12" t="s">
        <v>41</v>
      </c>
      <c r="W2" s="12" t="s">
        <v>45</v>
      </c>
      <c r="X2" s="12" t="s">
        <v>46</v>
      </c>
      <c r="Z2" s="28" t="s">
        <v>48</v>
      </c>
      <c r="AA2" s="28" t="s">
        <v>10</v>
      </c>
      <c r="AB2" s="28" t="s">
        <v>15</v>
      </c>
      <c r="AC2" s="28" t="s">
        <v>49</v>
      </c>
      <c r="AE2" s="30" t="s">
        <v>48</v>
      </c>
      <c r="AF2" s="30" t="s">
        <v>10</v>
      </c>
      <c r="AG2" s="30" t="s">
        <v>15</v>
      </c>
      <c r="AH2" s="30" t="s">
        <v>49</v>
      </c>
      <c r="AJ2" s="28" t="s">
        <v>50</v>
      </c>
      <c r="AK2" s="28" t="s">
        <v>18</v>
      </c>
      <c r="AL2" s="28" t="s">
        <v>20</v>
      </c>
      <c r="AM2" s="28" t="s">
        <v>14</v>
      </c>
      <c r="AO2" s="27" t="s">
        <v>50</v>
      </c>
      <c r="AP2" s="27" t="s">
        <v>18</v>
      </c>
      <c r="AQ2" s="27" t="s">
        <v>20</v>
      </c>
      <c r="AR2" s="27" t="s">
        <v>14</v>
      </c>
    </row>
    <row r="3" spans="1:44" ht="15.6" x14ac:dyDescent="0.3">
      <c r="A3" s="14" t="s">
        <v>51</v>
      </c>
      <c r="B3" s="14">
        <v>407.55218216318787</v>
      </c>
      <c r="C3" s="2"/>
      <c r="D3" s="13" t="s">
        <v>23</v>
      </c>
      <c r="E3" s="46">
        <v>40350</v>
      </c>
      <c r="F3" s="19">
        <v>0.18786665425086135</v>
      </c>
      <c r="G3" s="19">
        <v>0.18786665425086135</v>
      </c>
      <c r="I3" s="13" t="s">
        <v>52</v>
      </c>
      <c r="J3" s="47">
        <v>15200</v>
      </c>
      <c r="K3" s="19">
        <v>0.38549327922901344</v>
      </c>
      <c r="L3" s="19">
        <v>0.38549327922901344</v>
      </c>
      <c r="M3" s="18"/>
      <c r="N3" s="12" t="s">
        <v>23</v>
      </c>
      <c r="O3" s="12">
        <v>40350</v>
      </c>
      <c r="P3" s="20">
        <v>0.18786665425086135</v>
      </c>
      <c r="Q3" s="20">
        <v>0.18786665425086135</v>
      </c>
      <c r="R3" s="20" t="s">
        <v>53</v>
      </c>
      <c r="T3" s="13" t="s">
        <v>52</v>
      </c>
      <c r="U3" s="15">
        <v>15200</v>
      </c>
      <c r="V3" s="19">
        <v>0.38549327922901344</v>
      </c>
      <c r="W3" s="19">
        <v>0.38549327922901344</v>
      </c>
      <c r="X3" s="14" t="s">
        <v>53</v>
      </c>
      <c r="Z3" s="12" t="s">
        <v>9</v>
      </c>
      <c r="AA3" s="12">
        <v>48</v>
      </c>
      <c r="AB3" s="12">
        <v>151</v>
      </c>
      <c r="AC3" s="12">
        <v>199</v>
      </c>
      <c r="AE3" s="38" t="s">
        <v>54</v>
      </c>
      <c r="AF3" s="38">
        <v>8</v>
      </c>
      <c r="AG3" s="38">
        <v>7</v>
      </c>
      <c r="AH3" s="38">
        <v>15</v>
      </c>
      <c r="AJ3" s="39" t="s">
        <v>9</v>
      </c>
      <c r="AK3" s="39">
        <v>39</v>
      </c>
      <c r="AL3" s="39">
        <v>79</v>
      </c>
      <c r="AM3" s="39">
        <v>81</v>
      </c>
      <c r="AO3" s="31" t="s">
        <v>55</v>
      </c>
      <c r="AP3" s="32"/>
      <c r="AQ3" s="32">
        <v>1</v>
      </c>
      <c r="AR3" s="32"/>
    </row>
    <row r="4" spans="1:44" ht="15.6" x14ac:dyDescent="0.3">
      <c r="A4" s="14" t="s">
        <v>56</v>
      </c>
      <c r="B4" s="14">
        <v>250</v>
      </c>
      <c r="C4" s="2"/>
      <c r="D4" s="13" t="s">
        <v>9</v>
      </c>
      <c r="E4" s="46">
        <v>13820</v>
      </c>
      <c r="F4" s="19">
        <v>6.4344911071794395E-2</v>
      </c>
      <c r="G4" s="19">
        <v>0.25221156532265576</v>
      </c>
      <c r="I4" s="13" t="s">
        <v>57</v>
      </c>
      <c r="J4" s="47">
        <v>6345.0000000000009</v>
      </c>
      <c r="K4" s="19">
        <v>0.16091808267816385</v>
      </c>
      <c r="L4" s="19">
        <v>0.54641136190717732</v>
      </c>
      <c r="M4" s="18"/>
      <c r="N4" s="12" t="s">
        <v>9</v>
      </c>
      <c r="O4" s="12">
        <v>13820</v>
      </c>
      <c r="P4" s="20">
        <v>6.4344911071794395E-2</v>
      </c>
      <c r="Q4" s="20">
        <v>0.25221156532265576</v>
      </c>
      <c r="R4" s="20" t="s">
        <v>53</v>
      </c>
      <c r="T4" s="13" t="s">
        <v>57</v>
      </c>
      <c r="U4" s="15">
        <v>6345</v>
      </c>
      <c r="V4" s="19">
        <v>0.16091808267816385</v>
      </c>
      <c r="W4" s="19">
        <v>0.54641136190717732</v>
      </c>
      <c r="X4" s="14" t="s">
        <v>53</v>
      </c>
      <c r="Z4" s="12" t="s">
        <v>58</v>
      </c>
      <c r="AA4" s="12">
        <v>6</v>
      </c>
      <c r="AB4" s="12">
        <v>41</v>
      </c>
      <c r="AC4" s="12">
        <v>47</v>
      </c>
      <c r="AE4" s="38" t="s">
        <v>59</v>
      </c>
      <c r="AF4" s="38">
        <v>6</v>
      </c>
      <c r="AG4" s="38">
        <v>1</v>
      </c>
      <c r="AH4" s="38">
        <v>7</v>
      </c>
      <c r="AJ4" s="39" t="s">
        <v>23</v>
      </c>
      <c r="AK4" s="39">
        <v>2</v>
      </c>
      <c r="AL4" s="39">
        <v>29</v>
      </c>
      <c r="AM4" s="39">
        <v>18</v>
      </c>
      <c r="AO4" s="31" t="s">
        <v>57</v>
      </c>
      <c r="AP4" s="32">
        <v>6</v>
      </c>
      <c r="AQ4" s="32">
        <v>1</v>
      </c>
      <c r="AR4" s="32">
        <v>12</v>
      </c>
    </row>
    <row r="5" spans="1:44" ht="15.6" x14ac:dyDescent="0.3">
      <c r="A5" s="14" t="s">
        <v>60</v>
      </c>
      <c r="B5" s="14">
        <v>40</v>
      </c>
      <c r="C5" s="2"/>
      <c r="D5" s="13" t="s">
        <v>24</v>
      </c>
      <c r="E5" s="46">
        <v>12130</v>
      </c>
      <c r="F5" s="19">
        <v>5.6476394450135019E-2</v>
      </c>
      <c r="G5" s="19">
        <v>0.30868795977279079</v>
      </c>
      <c r="I5" s="13" t="s">
        <v>61</v>
      </c>
      <c r="J5" s="47">
        <v>5500</v>
      </c>
      <c r="K5" s="19">
        <v>0.13948769972102459</v>
      </c>
      <c r="L5" s="19">
        <v>0.68589906162820191</v>
      </c>
      <c r="M5" s="18"/>
      <c r="N5" s="12" t="s">
        <v>24</v>
      </c>
      <c r="O5" s="12">
        <v>12130</v>
      </c>
      <c r="P5" s="20">
        <v>5.6476394450135019E-2</v>
      </c>
      <c r="Q5" s="20">
        <v>0.30868795977279079</v>
      </c>
      <c r="R5" s="20" t="s">
        <v>53</v>
      </c>
      <c r="T5" s="13" t="s">
        <v>61</v>
      </c>
      <c r="U5" s="15">
        <v>5500</v>
      </c>
      <c r="V5" s="19">
        <v>0.13948769972102459</v>
      </c>
      <c r="W5" s="19">
        <v>0.68589906162820191</v>
      </c>
      <c r="X5" s="14" t="s">
        <v>53</v>
      </c>
      <c r="Z5" s="12" t="s">
        <v>19</v>
      </c>
      <c r="AA5" s="12">
        <v>5</v>
      </c>
      <c r="AB5" s="12">
        <v>13</v>
      </c>
      <c r="AC5" s="12">
        <v>18</v>
      </c>
      <c r="AE5" s="38" t="s">
        <v>57</v>
      </c>
      <c r="AF5" s="38">
        <v>6</v>
      </c>
      <c r="AG5" s="38">
        <v>13</v>
      </c>
      <c r="AH5" s="38">
        <v>19</v>
      </c>
      <c r="AJ5" s="39" t="s">
        <v>62</v>
      </c>
      <c r="AK5" s="39">
        <v>1</v>
      </c>
      <c r="AL5" s="39">
        <v>12</v>
      </c>
      <c r="AM5" s="39">
        <v>6</v>
      </c>
      <c r="AO5" s="31" t="s">
        <v>54</v>
      </c>
      <c r="AP5" s="32">
        <v>3</v>
      </c>
      <c r="AQ5" s="32">
        <v>1</v>
      </c>
      <c r="AR5" s="32">
        <v>11</v>
      </c>
    </row>
    <row r="6" spans="1:44" ht="15.6" x14ac:dyDescent="0.3">
      <c r="A6" s="14" t="s">
        <v>63</v>
      </c>
      <c r="B6" s="14">
        <v>7000</v>
      </c>
      <c r="C6" s="2"/>
      <c r="D6" s="13" t="s">
        <v>62</v>
      </c>
      <c r="E6" s="46">
        <v>9760</v>
      </c>
      <c r="F6" s="19">
        <v>4.5441847471831644E-2</v>
      </c>
      <c r="G6" s="19">
        <v>0.35412980724462245</v>
      </c>
      <c r="I6" s="13" t="s">
        <v>64</v>
      </c>
      <c r="J6" s="47">
        <v>2650</v>
      </c>
      <c r="K6" s="19">
        <v>6.7207709865584581E-2</v>
      </c>
      <c r="L6" s="19">
        <v>0.75310677149378646</v>
      </c>
      <c r="M6" s="18"/>
      <c r="N6" s="12" t="s">
        <v>62</v>
      </c>
      <c r="O6" s="12">
        <v>9760</v>
      </c>
      <c r="P6" s="20">
        <v>4.5441847471831644E-2</v>
      </c>
      <c r="Q6" s="20">
        <v>0.35412980724462245</v>
      </c>
      <c r="R6" s="20" t="s">
        <v>53</v>
      </c>
      <c r="T6" s="13" t="s">
        <v>64</v>
      </c>
      <c r="U6" s="15">
        <v>2650</v>
      </c>
      <c r="V6" s="19">
        <v>6.7207709865584581E-2</v>
      </c>
      <c r="W6" s="19">
        <v>0.75310677149378646</v>
      </c>
      <c r="X6" s="14" t="s">
        <v>65</v>
      </c>
      <c r="Z6" s="12" t="s">
        <v>26</v>
      </c>
      <c r="AA6" s="12">
        <v>4</v>
      </c>
      <c r="AB6" s="12">
        <v>5</v>
      </c>
      <c r="AC6" s="12">
        <v>9</v>
      </c>
      <c r="AE6" s="38" t="s">
        <v>66</v>
      </c>
      <c r="AF6" s="38">
        <v>5</v>
      </c>
      <c r="AG6" s="38"/>
      <c r="AH6" s="38">
        <v>5</v>
      </c>
      <c r="AJ6" s="39" t="s">
        <v>24</v>
      </c>
      <c r="AK6" s="39"/>
      <c r="AL6" s="39">
        <v>12</v>
      </c>
      <c r="AM6" s="39">
        <v>14</v>
      </c>
      <c r="AO6" s="31" t="s">
        <v>67</v>
      </c>
      <c r="AP6" s="32"/>
      <c r="AQ6" s="32">
        <v>1</v>
      </c>
      <c r="AR6" s="32">
        <v>1</v>
      </c>
    </row>
    <row r="7" spans="1:44" ht="15.6" x14ac:dyDescent="0.3">
      <c r="A7" s="14" t="s">
        <v>68</v>
      </c>
      <c r="B7" s="14">
        <v>531.01943409079786</v>
      </c>
      <c r="C7" s="2"/>
      <c r="D7" s="13" t="s">
        <v>26</v>
      </c>
      <c r="E7" s="46">
        <v>9500</v>
      </c>
      <c r="F7" s="19">
        <v>4.4231306453114815E-2</v>
      </c>
      <c r="G7" s="19">
        <v>0.39836111369773725</v>
      </c>
      <c r="I7" s="13" t="s">
        <v>54</v>
      </c>
      <c r="J7" s="47">
        <v>2010</v>
      </c>
      <c r="K7" s="19">
        <v>5.097641389804717E-2</v>
      </c>
      <c r="L7" s="19">
        <v>0.80408318539183365</v>
      </c>
      <c r="M7" s="18"/>
      <c r="N7" s="12" t="s">
        <v>26</v>
      </c>
      <c r="O7" s="12">
        <v>9500</v>
      </c>
      <c r="P7" s="20">
        <v>4.4231306453114815E-2</v>
      </c>
      <c r="Q7" s="20">
        <v>0.39836111369773725</v>
      </c>
      <c r="R7" s="20" t="s">
        <v>53</v>
      </c>
      <c r="T7" s="13" t="s">
        <v>54</v>
      </c>
      <c r="U7" s="15">
        <v>2010</v>
      </c>
      <c r="V7" s="19">
        <v>5.097641389804717E-2</v>
      </c>
      <c r="W7" s="19">
        <v>0.80408318539183365</v>
      </c>
      <c r="X7" s="14" t="s">
        <v>65</v>
      </c>
      <c r="Z7" s="12" t="s">
        <v>23</v>
      </c>
      <c r="AA7" s="12">
        <v>4</v>
      </c>
      <c r="AB7" s="12">
        <v>45</v>
      </c>
      <c r="AC7" s="12">
        <v>49</v>
      </c>
      <c r="AE7" s="38" t="s">
        <v>52</v>
      </c>
      <c r="AF7" s="38">
        <v>5</v>
      </c>
      <c r="AG7" s="38">
        <v>1</v>
      </c>
      <c r="AH7" s="38">
        <v>6</v>
      </c>
      <c r="AJ7" s="39" t="s">
        <v>69</v>
      </c>
      <c r="AK7" s="39"/>
      <c r="AL7" s="39">
        <v>7</v>
      </c>
      <c r="AM7" s="39">
        <v>1</v>
      </c>
      <c r="AO7" s="31" t="s">
        <v>59</v>
      </c>
      <c r="AP7" s="32"/>
      <c r="AQ7" s="32"/>
      <c r="AR7" s="32">
        <v>7</v>
      </c>
    </row>
    <row r="8" spans="1:44" ht="15.6" x14ac:dyDescent="0.3">
      <c r="A8" s="14" t="s">
        <v>70</v>
      </c>
      <c r="B8" s="14">
        <v>527</v>
      </c>
      <c r="C8" s="2"/>
      <c r="D8" s="13" t="s">
        <v>71</v>
      </c>
      <c r="E8" s="46">
        <v>8900</v>
      </c>
      <c r="F8" s="19">
        <v>4.1437750256075982E-2</v>
      </c>
      <c r="G8" s="19">
        <v>0.43979886395381323</v>
      </c>
      <c r="I8" s="13" t="s">
        <v>59</v>
      </c>
      <c r="J8" s="47">
        <v>1599.9999999999998</v>
      </c>
      <c r="K8" s="19">
        <v>4.0578239918843517E-2</v>
      </c>
      <c r="L8" s="19">
        <v>0.84466142531067723</v>
      </c>
      <c r="M8" s="18"/>
      <c r="N8" s="12" t="s">
        <v>71</v>
      </c>
      <c r="O8" s="12">
        <v>8900</v>
      </c>
      <c r="P8" s="20">
        <v>4.1437750256075982E-2</v>
      </c>
      <c r="Q8" s="20">
        <v>0.43979886395381323</v>
      </c>
      <c r="R8" s="20" t="s">
        <v>53</v>
      </c>
      <c r="T8" s="13" t="s">
        <v>59</v>
      </c>
      <c r="U8" s="15">
        <v>1600</v>
      </c>
      <c r="V8" s="19">
        <v>4.0578239918843517E-2</v>
      </c>
      <c r="W8" s="19">
        <v>0.84466142531067723</v>
      </c>
      <c r="X8" s="14" t="s">
        <v>65</v>
      </c>
      <c r="Z8" s="12" t="s">
        <v>72</v>
      </c>
      <c r="AA8" s="12">
        <v>2</v>
      </c>
      <c r="AB8" s="12">
        <v>4</v>
      </c>
      <c r="AC8" s="12">
        <v>6</v>
      </c>
      <c r="AE8" s="38" t="s">
        <v>61</v>
      </c>
      <c r="AF8" s="38">
        <v>4</v>
      </c>
      <c r="AG8" s="38">
        <v>5</v>
      </c>
      <c r="AH8" s="38">
        <v>9</v>
      </c>
      <c r="AJ8" s="39" t="s">
        <v>25</v>
      </c>
      <c r="AK8" s="39"/>
      <c r="AL8" s="39">
        <v>6</v>
      </c>
      <c r="AM8" s="39">
        <v>4</v>
      </c>
      <c r="AO8" s="31" t="s">
        <v>73</v>
      </c>
      <c r="AP8" s="32">
        <v>4</v>
      </c>
      <c r="AQ8" s="32"/>
      <c r="AR8" s="32">
        <v>3</v>
      </c>
    </row>
    <row r="9" spans="1:44" ht="15.6" x14ac:dyDescent="0.3">
      <c r="A9" s="14" t="s">
        <v>74</v>
      </c>
      <c r="B9" s="14">
        <v>43</v>
      </c>
      <c r="C9" s="2"/>
      <c r="D9" s="13" t="s">
        <v>16</v>
      </c>
      <c r="E9" s="46">
        <v>7500.0000000000009</v>
      </c>
      <c r="F9" s="19">
        <v>3.4919452462985383E-2</v>
      </c>
      <c r="G9" s="19">
        <v>0.47471831641679862</v>
      </c>
      <c r="I9" s="13" t="s">
        <v>75</v>
      </c>
      <c r="J9" s="47">
        <v>1050</v>
      </c>
      <c r="K9" s="19">
        <v>2.662946994674106E-2</v>
      </c>
      <c r="L9" s="19">
        <v>0.87129089525741832</v>
      </c>
      <c r="M9" s="18"/>
      <c r="N9" s="12" t="s">
        <v>16</v>
      </c>
      <c r="O9" s="12">
        <v>7500</v>
      </c>
      <c r="P9" s="20">
        <v>3.4919452462985383E-2</v>
      </c>
      <c r="Q9" s="20">
        <v>0.47471831641679862</v>
      </c>
      <c r="R9" s="20" t="s">
        <v>53</v>
      </c>
      <c r="T9" s="13" t="s">
        <v>75</v>
      </c>
      <c r="U9" s="15">
        <v>1050</v>
      </c>
      <c r="V9" s="19">
        <v>2.662946994674106E-2</v>
      </c>
      <c r="W9" s="19">
        <v>0.87129089525741832</v>
      </c>
      <c r="X9" s="14" t="s">
        <v>65</v>
      </c>
      <c r="Z9" s="12" t="s">
        <v>76</v>
      </c>
      <c r="AA9" s="12">
        <v>2</v>
      </c>
      <c r="AB9" s="12">
        <v>4</v>
      </c>
      <c r="AC9" s="12">
        <v>6</v>
      </c>
      <c r="AE9" s="38" t="s">
        <v>73</v>
      </c>
      <c r="AF9" s="38">
        <v>2</v>
      </c>
      <c r="AG9" s="38">
        <v>5</v>
      </c>
      <c r="AH9" s="38">
        <v>7</v>
      </c>
      <c r="AJ9" s="39" t="s">
        <v>26</v>
      </c>
      <c r="AK9" s="39">
        <v>2</v>
      </c>
      <c r="AL9" s="39">
        <v>5</v>
      </c>
      <c r="AM9" s="39">
        <v>2</v>
      </c>
      <c r="AO9" s="31" t="s">
        <v>77</v>
      </c>
      <c r="AP9" s="32"/>
      <c r="AQ9" s="32"/>
      <c r="AR9" s="32">
        <v>1</v>
      </c>
    </row>
    <row r="10" spans="1:44" ht="15.6" x14ac:dyDescent="0.3">
      <c r="C10" s="2"/>
      <c r="D10" s="13" t="s">
        <v>69</v>
      </c>
      <c r="E10" s="46">
        <v>7050</v>
      </c>
      <c r="F10" s="19">
        <v>3.2824285315206259E-2</v>
      </c>
      <c r="G10" s="19">
        <v>0.50754260173200483</v>
      </c>
      <c r="I10" s="13" t="s">
        <v>77</v>
      </c>
      <c r="J10" s="47">
        <v>1000.0000000000001</v>
      </c>
      <c r="K10" s="19">
        <v>2.5361399949277202E-2</v>
      </c>
      <c r="L10" s="19">
        <v>0.89665229520669554</v>
      </c>
      <c r="M10" s="18"/>
      <c r="N10" s="12" t="s">
        <v>69</v>
      </c>
      <c r="O10" s="12">
        <v>7050</v>
      </c>
      <c r="P10" s="20">
        <v>3.2824285315206259E-2</v>
      </c>
      <c r="Q10" s="20">
        <v>0.50754260173200483</v>
      </c>
      <c r="R10" s="20" t="s">
        <v>53</v>
      </c>
      <c r="T10" s="13" t="s">
        <v>77</v>
      </c>
      <c r="U10" s="15">
        <v>1000</v>
      </c>
      <c r="V10" s="19">
        <v>2.5361399949277202E-2</v>
      </c>
      <c r="W10" s="19">
        <v>0.89665229520669554</v>
      </c>
      <c r="X10" s="14" t="s">
        <v>65</v>
      </c>
      <c r="Z10" s="12" t="s">
        <v>78</v>
      </c>
      <c r="AA10" s="12">
        <v>2</v>
      </c>
      <c r="AB10" s="12"/>
      <c r="AC10" s="12">
        <v>2</v>
      </c>
      <c r="AE10" s="38" t="s">
        <v>79</v>
      </c>
      <c r="AF10" s="38">
        <v>1</v>
      </c>
      <c r="AG10" s="38">
        <v>1</v>
      </c>
      <c r="AH10" s="38">
        <v>2</v>
      </c>
      <c r="AJ10" s="39" t="s">
        <v>21</v>
      </c>
      <c r="AK10" s="39"/>
      <c r="AL10" s="39">
        <v>5</v>
      </c>
      <c r="AM10" s="39">
        <v>9</v>
      </c>
      <c r="AO10" s="31" t="s">
        <v>66</v>
      </c>
      <c r="AP10" s="32"/>
      <c r="AQ10" s="32"/>
      <c r="AR10" s="32">
        <v>5</v>
      </c>
    </row>
    <row r="11" spans="1:44" ht="15.6" x14ac:dyDescent="0.3">
      <c r="A11" s="62" t="s">
        <v>80</v>
      </c>
      <c r="B11" s="62"/>
      <c r="C11" s="2"/>
      <c r="D11" s="13" t="s">
        <v>81</v>
      </c>
      <c r="E11" s="46">
        <v>7000.0000000000009</v>
      </c>
      <c r="F11" s="19">
        <v>3.2591488965453025E-2</v>
      </c>
      <c r="G11" s="19">
        <v>0.54013409069745788</v>
      </c>
      <c r="I11" s="13" t="s">
        <v>82</v>
      </c>
      <c r="J11" s="47">
        <v>1000.0000000000001</v>
      </c>
      <c r="K11" s="19">
        <v>2.5361399949277202E-2</v>
      </c>
      <c r="L11" s="19">
        <v>0.92201369515597276</v>
      </c>
      <c r="M11" s="18"/>
      <c r="N11" s="12" t="s">
        <v>81</v>
      </c>
      <c r="O11" s="12">
        <v>7000</v>
      </c>
      <c r="P11" s="20">
        <v>3.2591488965453025E-2</v>
      </c>
      <c r="Q11" s="20">
        <v>0.54013409069745788</v>
      </c>
      <c r="R11" s="20" t="s">
        <v>53</v>
      </c>
      <c r="T11" s="13" t="s">
        <v>82</v>
      </c>
      <c r="U11" s="15">
        <v>1000</v>
      </c>
      <c r="V11" s="19">
        <v>2.5361399949277202E-2</v>
      </c>
      <c r="W11" s="19">
        <v>0.92201369515597276</v>
      </c>
      <c r="X11" s="14" t="s">
        <v>83</v>
      </c>
      <c r="Z11" s="12" t="s">
        <v>17</v>
      </c>
      <c r="AA11" s="12">
        <v>2</v>
      </c>
      <c r="AB11" s="12">
        <v>7</v>
      </c>
      <c r="AC11" s="12">
        <v>9</v>
      </c>
      <c r="AE11" s="38" t="s">
        <v>55</v>
      </c>
      <c r="AF11" s="38">
        <v>1</v>
      </c>
      <c r="AG11" s="38"/>
      <c r="AH11" s="38">
        <v>1</v>
      </c>
      <c r="AJ11" s="39" t="s">
        <v>84</v>
      </c>
      <c r="AK11" s="39">
        <v>1</v>
      </c>
      <c r="AL11" s="39">
        <v>5</v>
      </c>
      <c r="AM11" s="39">
        <v>1</v>
      </c>
      <c r="AO11" s="31" t="s">
        <v>79</v>
      </c>
      <c r="AP11" s="32">
        <v>1</v>
      </c>
      <c r="AQ11" s="32"/>
      <c r="AR11" s="32">
        <v>1</v>
      </c>
    </row>
    <row r="12" spans="1:44" ht="15.6" x14ac:dyDescent="0.3">
      <c r="A12" s="15" t="s">
        <v>38</v>
      </c>
      <c r="B12" s="16">
        <v>88250</v>
      </c>
      <c r="C12" s="2"/>
      <c r="D12" s="13" t="s">
        <v>19</v>
      </c>
      <c r="E12" s="46">
        <v>6989.9999999999991</v>
      </c>
      <c r="F12" s="19">
        <v>3.2544929695502371E-2</v>
      </c>
      <c r="G12" s="19">
        <v>0.57267902039296026</v>
      </c>
      <c r="I12" s="13" t="s">
        <v>66</v>
      </c>
      <c r="J12" s="47">
        <v>950</v>
      </c>
      <c r="K12" s="19">
        <v>2.409332995181334E-2</v>
      </c>
      <c r="L12" s="19">
        <v>0.9461070251077861</v>
      </c>
      <c r="M12" s="18"/>
      <c r="N12" s="12" t="s">
        <v>19</v>
      </c>
      <c r="O12" s="12">
        <v>6990</v>
      </c>
      <c r="P12" s="20">
        <v>3.2544929695502371E-2</v>
      </c>
      <c r="Q12" s="20">
        <v>0.57267902039296026</v>
      </c>
      <c r="R12" s="20" t="s">
        <v>53</v>
      </c>
      <c r="T12" s="13" t="s">
        <v>66</v>
      </c>
      <c r="U12" s="15">
        <v>950</v>
      </c>
      <c r="V12" s="19">
        <v>2.409332995181334E-2</v>
      </c>
      <c r="W12" s="19">
        <v>0.9461070251077861</v>
      </c>
      <c r="X12" s="14" t="s">
        <v>83</v>
      </c>
      <c r="Z12" s="12" t="s">
        <v>71</v>
      </c>
      <c r="AA12" s="12">
        <v>2</v>
      </c>
      <c r="AB12" s="12">
        <v>7</v>
      </c>
      <c r="AC12" s="12">
        <v>9</v>
      </c>
      <c r="AE12" s="38" t="s">
        <v>64</v>
      </c>
      <c r="AF12" s="38">
        <v>1</v>
      </c>
      <c r="AG12" s="38">
        <v>6</v>
      </c>
      <c r="AH12" s="38">
        <v>7</v>
      </c>
      <c r="AJ12" s="39" t="s">
        <v>17</v>
      </c>
      <c r="AK12" s="39">
        <v>2</v>
      </c>
      <c r="AL12" s="39">
        <v>4</v>
      </c>
      <c r="AM12" s="39">
        <v>3</v>
      </c>
      <c r="AO12" s="31" t="s">
        <v>75</v>
      </c>
      <c r="AP12" s="32">
        <v>1</v>
      </c>
      <c r="AQ12" s="32"/>
      <c r="AR12" s="32"/>
    </row>
    <row r="13" spans="1:44" ht="15.6" x14ac:dyDescent="0.3">
      <c r="A13" s="15" t="s">
        <v>51</v>
      </c>
      <c r="B13" s="17">
        <v>428.39805825242718</v>
      </c>
      <c r="C13" s="2"/>
      <c r="D13" s="13" t="s">
        <v>17</v>
      </c>
      <c r="E13" s="46">
        <v>6829.9999999999991</v>
      </c>
      <c r="F13" s="19">
        <v>3.1799981376292016E-2</v>
      </c>
      <c r="G13" s="19">
        <v>0.60447900176925229</v>
      </c>
      <c r="I13" s="13" t="s">
        <v>79</v>
      </c>
      <c r="J13" s="47">
        <v>780</v>
      </c>
      <c r="K13" s="19">
        <v>1.9781891960436216E-2</v>
      </c>
      <c r="L13" s="19">
        <v>0.96588891706822233</v>
      </c>
      <c r="M13" s="18"/>
      <c r="N13" s="12" t="s">
        <v>17</v>
      </c>
      <c r="O13" s="12">
        <v>6830</v>
      </c>
      <c r="P13" s="20">
        <v>3.1799981376292016E-2</v>
      </c>
      <c r="Q13" s="20">
        <v>0.60447900176925229</v>
      </c>
      <c r="R13" s="20" t="s">
        <v>53</v>
      </c>
      <c r="T13" s="13" t="s">
        <v>79</v>
      </c>
      <c r="U13" s="15">
        <v>780</v>
      </c>
      <c r="V13" s="19">
        <v>1.9781891960436216E-2</v>
      </c>
      <c r="W13" s="19">
        <v>0.96588891706822233</v>
      </c>
      <c r="X13" s="14" t="s">
        <v>83</v>
      </c>
      <c r="Z13" s="12" t="s">
        <v>85</v>
      </c>
      <c r="AA13" s="12">
        <v>2</v>
      </c>
      <c r="AB13" s="12">
        <v>2</v>
      </c>
      <c r="AC13" s="12">
        <v>4</v>
      </c>
      <c r="AE13" s="38" t="s">
        <v>67</v>
      </c>
      <c r="AF13" s="38">
        <v>1</v>
      </c>
      <c r="AG13" s="38">
        <v>1</v>
      </c>
      <c r="AH13" s="38">
        <v>2</v>
      </c>
      <c r="AJ13" s="39" t="s">
        <v>86</v>
      </c>
      <c r="AK13" s="39"/>
      <c r="AL13" s="39">
        <v>4</v>
      </c>
      <c r="AM13" s="39">
        <v>4</v>
      </c>
      <c r="AO13" s="31" t="s">
        <v>64</v>
      </c>
      <c r="AP13" s="32">
        <v>1</v>
      </c>
      <c r="AQ13" s="32"/>
      <c r="AR13" s="32">
        <v>6</v>
      </c>
    </row>
    <row r="14" spans="1:44" ht="15.6" x14ac:dyDescent="0.3">
      <c r="A14" s="15" t="s">
        <v>56</v>
      </c>
      <c r="B14" s="17">
        <v>275</v>
      </c>
      <c r="C14" s="2"/>
      <c r="D14" s="13" t="s">
        <v>58</v>
      </c>
      <c r="E14" s="46">
        <v>6450</v>
      </c>
      <c r="F14" s="19">
        <v>3.0030729118167426E-2</v>
      </c>
      <c r="G14" s="19">
        <v>0.63450973088741969</v>
      </c>
      <c r="I14" s="13" t="s">
        <v>73</v>
      </c>
      <c r="J14" s="47">
        <v>690</v>
      </c>
      <c r="K14" s="19">
        <v>1.7499365965001269E-2</v>
      </c>
      <c r="L14" s="19">
        <v>0.98338828303322356</v>
      </c>
      <c r="M14" s="18"/>
      <c r="N14" s="12" t="s">
        <v>58</v>
      </c>
      <c r="O14" s="12">
        <v>6450</v>
      </c>
      <c r="P14" s="20">
        <v>3.0030729118167426E-2</v>
      </c>
      <c r="Q14" s="20">
        <v>0.63450973088741969</v>
      </c>
      <c r="R14" s="20" t="s">
        <v>53</v>
      </c>
      <c r="T14" s="13" t="s">
        <v>73</v>
      </c>
      <c r="U14" s="15">
        <v>690</v>
      </c>
      <c r="V14" s="19">
        <v>1.7499365965001269E-2</v>
      </c>
      <c r="W14" s="19">
        <v>0.98338828303322356</v>
      </c>
      <c r="X14" s="14" t="s">
        <v>83</v>
      </c>
      <c r="Z14" s="12" t="s">
        <v>87</v>
      </c>
      <c r="AA14" s="12">
        <v>2</v>
      </c>
      <c r="AB14" s="12">
        <v>2</v>
      </c>
      <c r="AC14" s="12">
        <v>4</v>
      </c>
      <c r="AE14" s="38" t="s">
        <v>75</v>
      </c>
      <c r="AF14" s="38"/>
      <c r="AG14" s="38">
        <v>1</v>
      </c>
      <c r="AH14" s="38">
        <v>1</v>
      </c>
      <c r="AJ14" s="39" t="s">
        <v>88</v>
      </c>
      <c r="AK14" s="39"/>
      <c r="AL14" s="39">
        <v>4</v>
      </c>
      <c r="AM14" s="39"/>
      <c r="AO14" s="31" t="s">
        <v>61</v>
      </c>
      <c r="AP14" s="32">
        <v>2</v>
      </c>
      <c r="AQ14" s="32"/>
      <c r="AR14" s="32">
        <v>7</v>
      </c>
    </row>
    <row r="15" spans="1:44" ht="15.6" x14ac:dyDescent="0.3">
      <c r="A15" s="15" t="s">
        <v>60</v>
      </c>
      <c r="B15" s="17">
        <v>40</v>
      </c>
      <c r="C15" s="2"/>
      <c r="D15" s="13" t="s">
        <v>84</v>
      </c>
      <c r="E15" s="46">
        <v>5750</v>
      </c>
      <c r="F15" s="19">
        <v>2.6771580221622127E-2</v>
      </c>
      <c r="G15" s="19">
        <v>0.66128131110904187</v>
      </c>
      <c r="I15" s="13" t="s">
        <v>55</v>
      </c>
      <c r="J15" s="47">
        <v>399.99999999999994</v>
      </c>
      <c r="K15" s="19">
        <v>1.0144559979710879E-2</v>
      </c>
      <c r="L15" s="19">
        <v>0.99353284301293443</v>
      </c>
      <c r="M15" s="18"/>
      <c r="N15" s="12" t="s">
        <v>84</v>
      </c>
      <c r="O15" s="12">
        <v>5750</v>
      </c>
      <c r="P15" s="20">
        <v>2.6771580221622127E-2</v>
      </c>
      <c r="Q15" s="20">
        <v>0.66128131110904187</v>
      </c>
      <c r="R15" s="20" t="s">
        <v>53</v>
      </c>
      <c r="T15" s="13" t="s">
        <v>55</v>
      </c>
      <c r="U15" s="15">
        <v>400</v>
      </c>
      <c r="V15" s="19">
        <v>1.0144559979710879E-2</v>
      </c>
      <c r="W15" s="19">
        <v>0.99353284301293443</v>
      </c>
      <c r="X15" s="14" t="s">
        <v>83</v>
      </c>
      <c r="Z15" s="12" t="s">
        <v>89</v>
      </c>
      <c r="AA15" s="12">
        <v>1</v>
      </c>
      <c r="AB15" s="12"/>
      <c r="AC15" s="12">
        <v>1</v>
      </c>
      <c r="AE15" s="38" t="s">
        <v>77</v>
      </c>
      <c r="AF15" s="38"/>
      <c r="AG15" s="38">
        <v>1</v>
      </c>
      <c r="AH15" s="38">
        <v>1</v>
      </c>
      <c r="AJ15" s="39" t="s">
        <v>19</v>
      </c>
      <c r="AK15" s="39">
        <v>1</v>
      </c>
      <c r="AL15" s="39">
        <v>3</v>
      </c>
      <c r="AM15" s="39">
        <v>14</v>
      </c>
      <c r="AO15" s="31" t="s">
        <v>52</v>
      </c>
      <c r="AP15" s="32"/>
      <c r="AQ15" s="32"/>
      <c r="AR15" s="32">
        <v>6</v>
      </c>
    </row>
    <row r="16" spans="1:44" ht="15.6" x14ac:dyDescent="0.3">
      <c r="A16" s="15" t="s">
        <v>63</v>
      </c>
      <c r="B16" s="17">
        <v>3600</v>
      </c>
      <c r="C16" s="2"/>
      <c r="D16" s="13" t="s">
        <v>90</v>
      </c>
      <c r="E16" s="46">
        <v>5300</v>
      </c>
      <c r="F16" s="19">
        <v>2.4676413073843002E-2</v>
      </c>
      <c r="G16" s="19">
        <v>0.68595772418288492</v>
      </c>
      <c r="I16" s="13" t="s">
        <v>67</v>
      </c>
      <c r="J16" s="47">
        <v>255</v>
      </c>
      <c r="K16" s="19">
        <v>6.4671569870656861E-3</v>
      </c>
      <c r="L16" s="19">
        <v>1.0000000000000002</v>
      </c>
      <c r="M16" s="18"/>
      <c r="N16" s="12" t="s">
        <v>90</v>
      </c>
      <c r="O16" s="12">
        <v>5300</v>
      </c>
      <c r="P16" s="20">
        <v>2.4676413073843002E-2</v>
      </c>
      <c r="Q16" s="20">
        <v>0.68595772418288492</v>
      </c>
      <c r="R16" s="20" t="s">
        <v>53</v>
      </c>
      <c r="T16" s="13" t="s">
        <v>67</v>
      </c>
      <c r="U16" s="15">
        <v>255</v>
      </c>
      <c r="V16" s="19">
        <v>6.4671569870656861E-3</v>
      </c>
      <c r="W16" s="19">
        <v>1.0000000000000002</v>
      </c>
      <c r="X16" s="14" t="s">
        <v>83</v>
      </c>
      <c r="Z16" s="12" t="s">
        <v>91</v>
      </c>
      <c r="AA16" s="12">
        <v>1</v>
      </c>
      <c r="AB16" s="12">
        <v>5</v>
      </c>
      <c r="AC16" s="12">
        <v>6</v>
      </c>
      <c r="AE16" s="38" t="s">
        <v>82</v>
      </c>
      <c r="AF16" s="38"/>
      <c r="AG16" s="38">
        <v>1</v>
      </c>
      <c r="AH16" s="38">
        <v>1</v>
      </c>
      <c r="AJ16" s="39" t="s">
        <v>92</v>
      </c>
      <c r="AK16" s="39">
        <v>1</v>
      </c>
      <c r="AL16" s="39">
        <v>3</v>
      </c>
      <c r="AM16" s="39"/>
      <c r="AO16" s="31" t="s">
        <v>82</v>
      </c>
      <c r="AP16" s="32"/>
      <c r="AQ16" s="32"/>
      <c r="AR16" s="32">
        <v>1</v>
      </c>
    </row>
    <row r="17" spans="1:44" ht="15.6" x14ac:dyDescent="0.3">
      <c r="A17" s="15" t="s">
        <v>68</v>
      </c>
      <c r="B17" s="17">
        <v>489.42560340107252</v>
      </c>
      <c r="C17" s="2"/>
      <c r="D17" s="13" t="s">
        <v>72</v>
      </c>
      <c r="E17" s="46">
        <v>5270</v>
      </c>
      <c r="F17" s="19">
        <v>2.4536735263991062E-2</v>
      </c>
      <c r="G17" s="19">
        <v>0.71049445944687595</v>
      </c>
      <c r="I17" s="11"/>
      <c r="J17" s="18"/>
      <c r="K17" s="18"/>
      <c r="N17" s="12" t="s">
        <v>72</v>
      </c>
      <c r="O17" s="12">
        <v>5270</v>
      </c>
      <c r="P17" s="20">
        <v>2.4536735263991062E-2</v>
      </c>
      <c r="Q17" s="20">
        <v>0.71049445944687595</v>
      </c>
      <c r="R17" s="20" t="s">
        <v>65</v>
      </c>
      <c r="S17" s="5"/>
      <c r="T17" s="53"/>
      <c r="U17" s="15"/>
      <c r="V17" s="15"/>
      <c r="W17" s="15"/>
      <c r="X17" s="15"/>
      <c r="Z17" s="12" t="s">
        <v>22</v>
      </c>
      <c r="AA17" s="12">
        <v>1</v>
      </c>
      <c r="AB17" s="12">
        <v>7</v>
      </c>
      <c r="AC17" s="12">
        <v>8</v>
      </c>
      <c r="AE17" s="30" t="s">
        <v>49</v>
      </c>
      <c r="AF17" s="30">
        <v>40</v>
      </c>
      <c r="AG17" s="30">
        <v>43</v>
      </c>
      <c r="AH17" s="30">
        <v>83</v>
      </c>
      <c r="AJ17" s="39" t="s">
        <v>93</v>
      </c>
      <c r="AK17" s="39"/>
      <c r="AL17" s="39">
        <v>3</v>
      </c>
      <c r="AM17" s="39">
        <v>2</v>
      </c>
      <c r="AO17" s="34" t="s">
        <v>49</v>
      </c>
      <c r="AP17" s="27">
        <v>18</v>
      </c>
      <c r="AQ17" s="27">
        <v>4</v>
      </c>
      <c r="AR17" s="27">
        <v>61</v>
      </c>
    </row>
    <row r="18" spans="1:44" ht="15.6" x14ac:dyDescent="0.3">
      <c r="A18" s="15" t="s">
        <v>70</v>
      </c>
      <c r="B18" s="17">
        <v>206</v>
      </c>
      <c r="C18" s="2"/>
      <c r="D18" s="13" t="s">
        <v>93</v>
      </c>
      <c r="E18" s="46">
        <v>5160</v>
      </c>
      <c r="F18" s="19">
        <v>2.4024583294533941E-2</v>
      </c>
      <c r="G18" s="19">
        <v>0.73451904274140989</v>
      </c>
      <c r="I18" s="64" t="s">
        <v>94</v>
      </c>
      <c r="J18" s="64"/>
      <c r="K18" s="64"/>
      <c r="N18" s="12" t="s">
        <v>93</v>
      </c>
      <c r="O18" s="12">
        <v>5160</v>
      </c>
      <c r="P18" s="20">
        <v>2.4024583294533941E-2</v>
      </c>
      <c r="Q18" s="20">
        <v>0.73451904274140989</v>
      </c>
      <c r="R18" s="20" t="s">
        <v>65</v>
      </c>
      <c r="S18" s="5"/>
      <c r="T18" s="54" t="s">
        <v>38</v>
      </c>
      <c r="U18" s="22">
        <v>39430</v>
      </c>
      <c r="V18" s="15"/>
      <c r="W18" s="15"/>
      <c r="X18" s="15"/>
      <c r="Z18" s="12" t="s">
        <v>86</v>
      </c>
      <c r="AA18" s="12">
        <v>1</v>
      </c>
      <c r="AB18" s="12">
        <v>7</v>
      </c>
      <c r="AC18" s="12">
        <v>8</v>
      </c>
      <c r="AE18" s="40"/>
      <c r="AF18" s="40"/>
      <c r="AJ18" s="39" t="s">
        <v>22</v>
      </c>
      <c r="AK18" s="39">
        <v>1</v>
      </c>
      <c r="AL18" s="39">
        <v>2</v>
      </c>
      <c r="AM18" s="39">
        <v>5</v>
      </c>
      <c r="AO18" s="44"/>
      <c r="AP18" s="26"/>
      <c r="AQ18" s="26"/>
      <c r="AR18" s="26"/>
    </row>
    <row r="19" spans="1:44" ht="15.6" x14ac:dyDescent="0.3">
      <c r="A19" s="15" t="s">
        <v>74</v>
      </c>
      <c r="B19" s="17">
        <v>36</v>
      </c>
      <c r="C19" s="2"/>
      <c r="D19" s="13" t="s">
        <v>21</v>
      </c>
      <c r="E19" s="46">
        <v>5000</v>
      </c>
      <c r="F19" s="19">
        <v>2.3279634975323586E-2</v>
      </c>
      <c r="G19" s="19">
        <v>0.75779867771673348</v>
      </c>
      <c r="I19" s="27" t="s">
        <v>95</v>
      </c>
      <c r="J19" s="27" t="s">
        <v>44</v>
      </c>
      <c r="K19" s="27" t="s">
        <v>96</v>
      </c>
      <c r="N19" s="12" t="s">
        <v>21</v>
      </c>
      <c r="O19" s="12">
        <v>5000</v>
      </c>
      <c r="P19" s="20">
        <v>2.3279634975323586E-2</v>
      </c>
      <c r="Q19" s="20">
        <v>0.75779867771673348</v>
      </c>
      <c r="R19" s="20" t="s">
        <v>65</v>
      </c>
      <c r="S19" s="5"/>
      <c r="T19" s="23"/>
      <c r="U19" s="24"/>
      <c r="Z19" s="12" t="s">
        <v>97</v>
      </c>
      <c r="AA19" s="12">
        <v>1</v>
      </c>
      <c r="AB19" s="12"/>
      <c r="AC19" s="12">
        <v>1</v>
      </c>
      <c r="AE19" s="67" t="s">
        <v>98</v>
      </c>
      <c r="AF19" s="67"/>
      <c r="AG19" s="67"/>
      <c r="AJ19" s="39" t="s">
        <v>72</v>
      </c>
      <c r="AK19" s="39"/>
      <c r="AL19" s="39">
        <v>2</v>
      </c>
      <c r="AM19" s="39">
        <v>4</v>
      </c>
      <c r="AO19" s="66" t="s">
        <v>99</v>
      </c>
      <c r="AP19" s="66"/>
      <c r="AQ19" s="66"/>
      <c r="AR19" s="66"/>
    </row>
    <row r="20" spans="1:44" ht="15.6" x14ac:dyDescent="0.3">
      <c r="C20" s="2"/>
      <c r="D20" s="13" t="s">
        <v>100</v>
      </c>
      <c r="E20" s="46">
        <v>4200</v>
      </c>
      <c r="F20" s="19">
        <v>1.9554893379271812E-2</v>
      </c>
      <c r="G20" s="19">
        <v>0.77735357109600534</v>
      </c>
      <c r="I20" s="31" t="s">
        <v>10</v>
      </c>
      <c r="J20" s="32">
        <v>34730</v>
      </c>
      <c r="K20" s="33">
        <v>0.16170034453859763</v>
      </c>
      <c r="N20" s="12" t="s">
        <v>100</v>
      </c>
      <c r="O20" s="12">
        <v>4200</v>
      </c>
      <c r="P20" s="20">
        <v>1.9554893379271812E-2</v>
      </c>
      <c r="Q20" s="20">
        <v>0.77735357109600534</v>
      </c>
      <c r="R20" s="20" t="s">
        <v>65</v>
      </c>
      <c r="S20" s="5"/>
      <c r="T20" s="66" t="s">
        <v>101</v>
      </c>
      <c r="U20" s="66"/>
      <c r="V20" s="66"/>
      <c r="Z20" s="12" t="s">
        <v>102</v>
      </c>
      <c r="AA20" s="12">
        <v>1</v>
      </c>
      <c r="AB20" s="12">
        <v>4</v>
      </c>
      <c r="AC20" s="12">
        <v>5</v>
      </c>
      <c r="AE20" s="27" t="s">
        <v>50</v>
      </c>
      <c r="AF20" s="76" t="s">
        <v>103</v>
      </c>
      <c r="AG20" s="76"/>
      <c r="AJ20" s="39" t="s">
        <v>104</v>
      </c>
      <c r="AK20" s="39"/>
      <c r="AL20" s="39">
        <v>2</v>
      </c>
      <c r="AM20" s="39"/>
      <c r="AO20" s="27" t="s">
        <v>50</v>
      </c>
      <c r="AP20" s="27" t="s">
        <v>18</v>
      </c>
      <c r="AQ20" s="27" t="s">
        <v>20</v>
      </c>
      <c r="AR20" s="27" t="s">
        <v>14</v>
      </c>
    </row>
    <row r="21" spans="1:44" ht="15.6" x14ac:dyDescent="0.3">
      <c r="A21" s="62" t="s">
        <v>105</v>
      </c>
      <c r="B21" s="62"/>
      <c r="C21" s="2"/>
      <c r="D21" s="13" t="s">
        <v>25</v>
      </c>
      <c r="E21" s="46">
        <v>4180</v>
      </c>
      <c r="F21" s="19">
        <v>1.9461774839370519E-2</v>
      </c>
      <c r="G21" s="19">
        <v>0.79681534593537584</v>
      </c>
      <c r="I21" s="31" t="s">
        <v>15</v>
      </c>
      <c r="J21" s="32">
        <v>180050</v>
      </c>
      <c r="K21" s="33">
        <v>0.83829965546140239</v>
      </c>
      <c r="N21" s="12" t="s">
        <v>25</v>
      </c>
      <c r="O21" s="12">
        <v>4180</v>
      </c>
      <c r="P21" s="20">
        <v>1.9461774839370519E-2</v>
      </c>
      <c r="Q21" s="20">
        <v>0.79681534593537584</v>
      </c>
      <c r="R21" s="20" t="s">
        <v>65</v>
      </c>
      <c r="S21" s="5"/>
      <c r="T21" s="28" t="s">
        <v>106</v>
      </c>
      <c r="U21" s="28" t="s">
        <v>10</v>
      </c>
      <c r="V21" s="28" t="s">
        <v>15</v>
      </c>
      <c r="W21" s="26"/>
      <c r="Z21" s="12" t="s">
        <v>69</v>
      </c>
      <c r="AA21" s="12">
        <v>1</v>
      </c>
      <c r="AB21" s="12">
        <v>7</v>
      </c>
      <c r="AC21" s="12">
        <v>8</v>
      </c>
      <c r="AE21" s="31" t="s">
        <v>18</v>
      </c>
      <c r="AF21" s="67">
        <v>72</v>
      </c>
      <c r="AG21" s="67"/>
      <c r="AJ21" s="39" t="s">
        <v>87</v>
      </c>
      <c r="AK21" s="39">
        <v>1</v>
      </c>
      <c r="AL21" s="39">
        <v>2</v>
      </c>
      <c r="AM21" s="39">
        <v>1</v>
      </c>
      <c r="AO21" s="41" t="s">
        <v>9</v>
      </c>
      <c r="AP21" s="42">
        <v>39</v>
      </c>
      <c r="AQ21" s="42">
        <v>79</v>
      </c>
      <c r="AR21" s="42">
        <v>81</v>
      </c>
    </row>
    <row r="22" spans="1:44" ht="15.6" x14ac:dyDescent="0.3">
      <c r="A22" s="14" t="s">
        <v>38</v>
      </c>
      <c r="B22" s="14">
        <v>39430</v>
      </c>
      <c r="C22" s="2"/>
      <c r="D22" s="13" t="s">
        <v>78</v>
      </c>
      <c r="E22" s="46">
        <v>3900.0000000000005</v>
      </c>
      <c r="F22" s="19">
        <v>1.8158115280752399E-2</v>
      </c>
      <c r="G22" s="19">
        <v>0.81497346121612824</v>
      </c>
      <c r="I22" s="34" t="s">
        <v>49</v>
      </c>
      <c r="J22" s="27">
        <v>214780</v>
      </c>
      <c r="K22" s="35">
        <v>1</v>
      </c>
      <c r="N22" s="12" t="s">
        <v>78</v>
      </c>
      <c r="O22" s="12">
        <v>3900</v>
      </c>
      <c r="P22" s="20">
        <v>1.8158115280752399E-2</v>
      </c>
      <c r="Q22" s="20">
        <v>0.81497346121612824</v>
      </c>
      <c r="R22" s="20" t="s">
        <v>65</v>
      </c>
      <c r="S22" s="5"/>
      <c r="T22" s="12" t="s">
        <v>107</v>
      </c>
      <c r="U22" s="12">
        <v>25</v>
      </c>
      <c r="V22" s="12">
        <v>1</v>
      </c>
      <c r="Z22" s="12" t="s">
        <v>90</v>
      </c>
      <c r="AA22" s="12">
        <v>1</v>
      </c>
      <c r="AB22" s="12">
        <v>10</v>
      </c>
      <c r="AC22" s="12">
        <v>11</v>
      </c>
      <c r="AE22" s="31" t="s">
        <v>20</v>
      </c>
      <c r="AF22" s="67">
        <v>202</v>
      </c>
      <c r="AG22" s="67"/>
      <c r="AJ22" s="39" t="s">
        <v>108</v>
      </c>
      <c r="AK22" s="39"/>
      <c r="AL22" s="39">
        <v>1</v>
      </c>
      <c r="AM22" s="39"/>
      <c r="AO22" s="43" t="s">
        <v>10</v>
      </c>
      <c r="AP22" s="32">
        <v>12</v>
      </c>
      <c r="AQ22" s="32">
        <v>13</v>
      </c>
      <c r="AR22" s="32">
        <v>23</v>
      </c>
    </row>
    <row r="23" spans="1:44" ht="15.6" x14ac:dyDescent="0.3">
      <c r="A23" s="14" t="s">
        <v>51</v>
      </c>
      <c r="B23" s="14">
        <v>475.06024096385545</v>
      </c>
      <c r="C23" s="2"/>
      <c r="D23" s="13" t="s">
        <v>89</v>
      </c>
      <c r="E23" s="46">
        <v>3600</v>
      </c>
      <c r="F23" s="19">
        <v>1.6761337182232983E-2</v>
      </c>
      <c r="G23" s="19">
        <v>0.83173479839836117</v>
      </c>
      <c r="I23" s="11"/>
      <c r="J23" s="18"/>
      <c r="K23" s="18"/>
      <c r="N23" s="12" t="s">
        <v>89</v>
      </c>
      <c r="O23" s="12">
        <v>3600</v>
      </c>
      <c r="P23" s="20">
        <v>1.6761337182232983E-2</v>
      </c>
      <c r="Q23" s="20">
        <v>0.83173479839836117</v>
      </c>
      <c r="R23" s="20" t="s">
        <v>65</v>
      </c>
      <c r="S23" s="5"/>
      <c r="T23" s="12" t="s">
        <v>109</v>
      </c>
      <c r="U23" s="12">
        <v>5</v>
      </c>
      <c r="V23" s="12">
        <v>3</v>
      </c>
      <c r="Z23" s="12" t="s">
        <v>100</v>
      </c>
      <c r="AA23" s="12">
        <v>1</v>
      </c>
      <c r="AB23" s="12">
        <v>5</v>
      </c>
      <c r="AC23" s="12">
        <v>6</v>
      </c>
      <c r="AE23" s="31" t="s">
        <v>14</v>
      </c>
      <c r="AF23" s="67">
        <v>253</v>
      </c>
      <c r="AG23" s="67"/>
      <c r="AJ23" s="39" t="s">
        <v>71</v>
      </c>
      <c r="AK23" s="39"/>
      <c r="AL23" s="39">
        <v>1</v>
      </c>
      <c r="AM23" s="39">
        <v>8</v>
      </c>
      <c r="AO23" s="43" t="s">
        <v>15</v>
      </c>
      <c r="AP23" s="32">
        <v>27</v>
      </c>
      <c r="AQ23" s="32">
        <v>66</v>
      </c>
      <c r="AR23" s="32">
        <v>58</v>
      </c>
    </row>
    <row r="24" spans="1:44" ht="15.6" x14ac:dyDescent="0.3">
      <c r="A24" s="14" t="s">
        <v>56</v>
      </c>
      <c r="B24" s="14">
        <v>300</v>
      </c>
      <c r="C24" s="2"/>
      <c r="D24" s="13" t="s">
        <v>87</v>
      </c>
      <c r="E24" s="46">
        <v>3569.9999999999995</v>
      </c>
      <c r="F24" s="19">
        <v>1.662165937238104E-2</v>
      </c>
      <c r="G24" s="19">
        <v>0.8483564577707422</v>
      </c>
      <c r="I24" s="64" t="s">
        <v>110</v>
      </c>
      <c r="J24" s="64"/>
      <c r="K24" s="64"/>
      <c r="N24" s="12" t="s">
        <v>87</v>
      </c>
      <c r="O24" s="12">
        <v>3570</v>
      </c>
      <c r="P24" s="20">
        <v>1.662165937238104E-2</v>
      </c>
      <c r="Q24" s="20">
        <v>0.8483564577707422</v>
      </c>
      <c r="R24" s="20" t="s">
        <v>65</v>
      </c>
      <c r="S24" s="5"/>
      <c r="T24" s="12" t="s">
        <v>111</v>
      </c>
      <c r="U24" s="12">
        <v>6</v>
      </c>
      <c r="V24" s="12">
        <v>10</v>
      </c>
      <c r="Z24" s="12" t="s">
        <v>88</v>
      </c>
      <c r="AA24" s="12">
        <v>1</v>
      </c>
      <c r="AB24" s="12">
        <v>3</v>
      </c>
      <c r="AC24" s="12">
        <v>4</v>
      </c>
      <c r="AJ24" s="39" t="s">
        <v>112</v>
      </c>
      <c r="AK24" s="39"/>
      <c r="AL24" s="39">
        <v>1</v>
      </c>
      <c r="AM24" s="39"/>
      <c r="AO24" s="41" t="s">
        <v>23</v>
      </c>
      <c r="AP24" s="42">
        <v>2</v>
      </c>
      <c r="AQ24" s="42">
        <v>29</v>
      </c>
      <c r="AR24" s="42">
        <v>18</v>
      </c>
    </row>
    <row r="25" spans="1:44" ht="15.6" x14ac:dyDescent="0.3">
      <c r="A25" s="14" t="s">
        <v>60</v>
      </c>
      <c r="B25" s="14">
        <v>4000</v>
      </c>
      <c r="C25" s="2"/>
      <c r="D25" s="13" t="s">
        <v>113</v>
      </c>
      <c r="E25" s="46">
        <v>3200</v>
      </c>
      <c r="F25" s="19">
        <v>1.4898966384207096E-2</v>
      </c>
      <c r="G25" s="19">
        <v>0.86325542415494927</v>
      </c>
      <c r="I25" s="27" t="s">
        <v>95</v>
      </c>
      <c r="J25" s="36" t="s">
        <v>44</v>
      </c>
      <c r="K25" s="27" t="s">
        <v>96</v>
      </c>
      <c r="N25" s="12" t="s">
        <v>113</v>
      </c>
      <c r="O25" s="12">
        <v>3200</v>
      </c>
      <c r="P25" s="20">
        <v>1.4898966384207096E-2</v>
      </c>
      <c r="Q25" s="29">
        <v>0.86325542415494927</v>
      </c>
      <c r="R25" s="20" t="s">
        <v>65</v>
      </c>
      <c r="S25" s="5"/>
      <c r="T25" s="12" t="s">
        <v>114</v>
      </c>
      <c r="U25" s="12">
        <v>2</v>
      </c>
      <c r="V25" s="12">
        <v>14</v>
      </c>
      <c r="Z25" s="12" t="s">
        <v>24</v>
      </c>
      <c r="AA25" s="12">
        <v>1</v>
      </c>
      <c r="AB25" s="12">
        <v>25</v>
      </c>
      <c r="AC25" s="12">
        <v>26</v>
      </c>
      <c r="AE25" s="67" t="s">
        <v>98</v>
      </c>
      <c r="AF25" s="67"/>
      <c r="AG25" s="67"/>
      <c r="AJ25" s="39" t="s">
        <v>58</v>
      </c>
      <c r="AK25" s="39">
        <v>11</v>
      </c>
      <c r="AL25" s="39">
        <v>1</v>
      </c>
      <c r="AM25" s="39">
        <v>35</v>
      </c>
      <c r="AO25" s="43" t="s">
        <v>10</v>
      </c>
      <c r="AP25" s="32"/>
      <c r="AQ25" s="32">
        <v>4</v>
      </c>
      <c r="AR25" s="32"/>
    </row>
    <row r="26" spans="1:44" ht="15.6" x14ac:dyDescent="0.3">
      <c r="A26" s="14" t="s">
        <v>63</v>
      </c>
      <c r="B26" s="14">
        <v>40</v>
      </c>
      <c r="C26" s="2"/>
      <c r="D26" s="13" t="s">
        <v>92</v>
      </c>
      <c r="E26" s="46">
        <v>2900</v>
      </c>
      <c r="F26" s="19">
        <v>1.350218828568768E-2</v>
      </c>
      <c r="G26" s="19">
        <v>0.87675761244063699</v>
      </c>
      <c r="I26" s="31" t="s">
        <v>10</v>
      </c>
      <c r="J26" s="37">
        <v>23475</v>
      </c>
      <c r="K26" s="33">
        <v>0.59535886380928227</v>
      </c>
      <c r="N26" s="12" t="s">
        <v>92</v>
      </c>
      <c r="O26" s="12">
        <v>2900</v>
      </c>
      <c r="P26" s="20">
        <v>1.350218828568768E-2</v>
      </c>
      <c r="Q26" s="20">
        <v>0.87675761244063699</v>
      </c>
      <c r="R26" s="20" t="s">
        <v>65</v>
      </c>
      <c r="S26" s="5"/>
      <c r="T26" s="12" t="s">
        <v>115</v>
      </c>
      <c r="U26" s="12">
        <v>2</v>
      </c>
      <c r="V26" s="12">
        <v>15</v>
      </c>
      <c r="Z26" s="12" t="s">
        <v>116</v>
      </c>
      <c r="AA26" s="12"/>
      <c r="AB26" s="12">
        <v>2</v>
      </c>
      <c r="AC26" s="12">
        <v>2</v>
      </c>
      <c r="AE26" s="27" t="s">
        <v>50</v>
      </c>
      <c r="AF26" s="76" t="s">
        <v>103</v>
      </c>
      <c r="AG26" s="76"/>
      <c r="AJ26" s="39" t="s">
        <v>102</v>
      </c>
      <c r="AK26" s="39">
        <v>1</v>
      </c>
      <c r="AL26" s="39">
        <v>1</v>
      </c>
      <c r="AM26" s="39">
        <v>3</v>
      </c>
      <c r="AO26" s="43" t="s">
        <v>15</v>
      </c>
      <c r="AP26" s="32">
        <v>2</v>
      </c>
      <c r="AQ26" s="32">
        <v>25</v>
      </c>
      <c r="AR26" s="32">
        <v>18</v>
      </c>
    </row>
    <row r="27" spans="1:44" ht="15.6" x14ac:dyDescent="0.3">
      <c r="A27" s="14" t="s">
        <v>68</v>
      </c>
      <c r="B27" s="14">
        <v>657.78939378092207</v>
      </c>
      <c r="C27" s="2"/>
      <c r="D27" s="13" t="s">
        <v>104</v>
      </c>
      <c r="E27" s="46">
        <v>2760</v>
      </c>
      <c r="F27" s="19">
        <v>1.2850358506378621E-2</v>
      </c>
      <c r="G27" s="19">
        <v>0.8896079709470156</v>
      </c>
      <c r="I27" s="31" t="s">
        <v>15</v>
      </c>
      <c r="J27" s="37">
        <v>15955</v>
      </c>
      <c r="K27" s="33">
        <v>0.40464113619071773</v>
      </c>
      <c r="N27" s="12" t="s">
        <v>104</v>
      </c>
      <c r="O27" s="12">
        <v>2760</v>
      </c>
      <c r="P27" s="20">
        <v>1.2850358506378621E-2</v>
      </c>
      <c r="Q27" s="20">
        <v>0.8896079709470156</v>
      </c>
      <c r="R27" s="20" t="s">
        <v>65</v>
      </c>
      <c r="S27" s="5"/>
      <c r="T27" s="25"/>
      <c r="Z27" s="12" t="s">
        <v>62</v>
      </c>
      <c r="AA27" s="12"/>
      <c r="AB27" s="12">
        <v>19</v>
      </c>
      <c r="AC27" s="12">
        <v>19</v>
      </c>
      <c r="AE27" s="31" t="s">
        <v>18</v>
      </c>
      <c r="AF27" s="67">
        <v>72</v>
      </c>
      <c r="AG27" s="67"/>
      <c r="AJ27" s="39" t="s">
        <v>117</v>
      </c>
      <c r="AK27" s="39"/>
      <c r="AL27" s="39">
        <v>1</v>
      </c>
      <c r="AM27" s="39"/>
      <c r="AO27" s="41" t="s">
        <v>62</v>
      </c>
      <c r="AP27" s="42">
        <v>1</v>
      </c>
      <c r="AQ27" s="42">
        <v>12</v>
      </c>
      <c r="AR27" s="42">
        <v>6</v>
      </c>
    </row>
    <row r="28" spans="1:44" ht="15.6" x14ac:dyDescent="0.3">
      <c r="A28" s="14" t="s">
        <v>70</v>
      </c>
      <c r="B28" s="14">
        <v>83</v>
      </c>
      <c r="C28" s="2"/>
      <c r="D28" s="13" t="s">
        <v>22</v>
      </c>
      <c r="E28" s="46">
        <v>2710</v>
      </c>
      <c r="F28" s="19">
        <v>1.2617562156625383E-2</v>
      </c>
      <c r="G28" s="19">
        <v>0.90222553310364095</v>
      </c>
      <c r="I28" s="34" t="s">
        <v>49</v>
      </c>
      <c r="J28" s="27">
        <v>39430</v>
      </c>
      <c r="K28" s="35">
        <v>1</v>
      </c>
      <c r="N28" s="12" t="s">
        <v>22</v>
      </c>
      <c r="O28" s="12">
        <v>2710</v>
      </c>
      <c r="P28" s="20">
        <v>1.2617562156625383E-2</v>
      </c>
      <c r="Q28" s="20">
        <v>0.90222553310364095</v>
      </c>
      <c r="R28" s="20" t="s">
        <v>83</v>
      </c>
      <c r="S28" s="5"/>
      <c r="T28" s="66" t="s">
        <v>118</v>
      </c>
      <c r="U28" s="66"/>
      <c r="V28" s="66"/>
      <c r="Z28" s="12" t="s">
        <v>84</v>
      </c>
      <c r="AA28" s="12"/>
      <c r="AB28" s="12">
        <v>7</v>
      </c>
      <c r="AC28" s="12">
        <v>7</v>
      </c>
      <c r="AE28" s="31" t="s">
        <v>20</v>
      </c>
      <c r="AF28" s="67">
        <v>202</v>
      </c>
      <c r="AG28" s="67"/>
      <c r="AJ28" s="39" t="s">
        <v>76</v>
      </c>
      <c r="AK28" s="39"/>
      <c r="AL28" s="39">
        <v>1</v>
      </c>
      <c r="AM28" s="39">
        <v>5</v>
      </c>
      <c r="AO28" s="43" t="s">
        <v>15</v>
      </c>
      <c r="AP28" s="32">
        <v>1</v>
      </c>
      <c r="AQ28" s="32">
        <v>12</v>
      </c>
      <c r="AR28" s="32">
        <v>6</v>
      </c>
    </row>
    <row r="29" spans="1:44" ht="15.6" x14ac:dyDescent="0.3">
      <c r="A29" s="14" t="s">
        <v>74</v>
      </c>
      <c r="B29" s="14">
        <v>14</v>
      </c>
      <c r="C29" s="2"/>
      <c r="D29" s="13" t="s">
        <v>91</v>
      </c>
      <c r="E29" s="46">
        <v>2670</v>
      </c>
      <c r="F29" s="19">
        <v>1.2431325076822795E-2</v>
      </c>
      <c r="G29" s="19">
        <v>0.91465685818046372</v>
      </c>
      <c r="I29" s="11"/>
      <c r="J29" s="18"/>
      <c r="K29" s="18"/>
      <c r="N29" s="12" t="s">
        <v>91</v>
      </c>
      <c r="O29" s="12">
        <v>2670</v>
      </c>
      <c r="P29" s="20">
        <v>1.2431325076822795E-2</v>
      </c>
      <c r="Q29" s="20">
        <v>0.91465685818046372</v>
      </c>
      <c r="R29" s="20" t="s">
        <v>83</v>
      </c>
      <c r="S29" s="5"/>
      <c r="T29" s="28" t="s">
        <v>106</v>
      </c>
      <c r="U29" s="28" t="s">
        <v>10</v>
      </c>
      <c r="V29" s="28" t="s">
        <v>15</v>
      </c>
      <c r="Z29" s="12" t="s">
        <v>16</v>
      </c>
      <c r="AA29" s="12"/>
      <c r="AB29" s="12">
        <v>2</v>
      </c>
      <c r="AC29" s="12">
        <v>2</v>
      </c>
      <c r="AE29" s="31" t="s">
        <v>14</v>
      </c>
      <c r="AF29" s="67">
        <v>253</v>
      </c>
      <c r="AG29" s="67"/>
      <c r="AJ29" s="39" t="s">
        <v>119</v>
      </c>
      <c r="AK29" s="39"/>
      <c r="AL29" s="39">
        <v>1</v>
      </c>
      <c r="AM29" s="39"/>
      <c r="AO29" s="41" t="s">
        <v>24</v>
      </c>
      <c r="AP29" s="42"/>
      <c r="AQ29" s="42">
        <v>12</v>
      </c>
      <c r="AR29" s="42">
        <v>14</v>
      </c>
    </row>
    <row r="30" spans="1:44" ht="15.6" x14ac:dyDescent="0.3">
      <c r="C30" s="2"/>
      <c r="D30" s="13" t="s">
        <v>120</v>
      </c>
      <c r="E30" s="46">
        <v>2600</v>
      </c>
      <c r="F30" s="19">
        <v>1.2105410187168266E-2</v>
      </c>
      <c r="G30" s="19">
        <v>0.92676226836763198</v>
      </c>
      <c r="I30" s="64" t="s">
        <v>121</v>
      </c>
      <c r="J30" s="64"/>
      <c r="K30" s="64"/>
      <c r="L30" s="64"/>
      <c r="M30" s="51"/>
      <c r="N30" s="48" t="s">
        <v>120</v>
      </c>
      <c r="O30" s="12">
        <v>2600</v>
      </c>
      <c r="P30" s="20">
        <v>1.2105410187168266E-2</v>
      </c>
      <c r="Q30" s="20">
        <v>0.92676226836763198</v>
      </c>
      <c r="R30" s="20" t="s">
        <v>83</v>
      </c>
      <c r="S30" s="5"/>
      <c r="T30" s="12" t="s">
        <v>12</v>
      </c>
      <c r="U30" s="12">
        <v>7</v>
      </c>
      <c r="V30" s="12">
        <v>32</v>
      </c>
      <c r="Z30" s="12" t="s">
        <v>113</v>
      </c>
      <c r="AA30" s="12"/>
      <c r="AB30" s="12">
        <v>4</v>
      </c>
      <c r="AC30" s="12">
        <v>4</v>
      </c>
      <c r="AJ30" s="39" t="s">
        <v>100</v>
      </c>
      <c r="AK30" s="39">
        <v>1</v>
      </c>
      <c r="AL30" s="39">
        <v>1</v>
      </c>
      <c r="AM30" s="39">
        <v>4</v>
      </c>
      <c r="AO30" s="43" t="s">
        <v>10</v>
      </c>
      <c r="AP30" s="32"/>
      <c r="AQ30" s="32"/>
      <c r="AR30" s="32">
        <v>1</v>
      </c>
    </row>
    <row r="31" spans="1:44" ht="15.6" x14ac:dyDescent="0.3">
      <c r="C31" s="2"/>
      <c r="D31" s="13" t="s">
        <v>97</v>
      </c>
      <c r="E31" s="46">
        <v>2000</v>
      </c>
      <c r="F31" s="19">
        <v>9.3118539901294352E-3</v>
      </c>
      <c r="G31" s="19">
        <v>0.93607412235776144</v>
      </c>
      <c r="I31" s="27" t="s">
        <v>48</v>
      </c>
      <c r="J31" s="27" t="s">
        <v>10</v>
      </c>
      <c r="K31" s="27" t="s">
        <v>15</v>
      </c>
      <c r="L31" s="49" t="s">
        <v>49</v>
      </c>
      <c r="M31" s="26"/>
      <c r="N31" s="12" t="s">
        <v>97</v>
      </c>
      <c r="O31" s="12">
        <v>2000</v>
      </c>
      <c r="P31" s="20">
        <v>9.3118539901294352E-3</v>
      </c>
      <c r="Q31" s="20">
        <v>0.93607412235776144</v>
      </c>
      <c r="R31" s="20" t="s">
        <v>83</v>
      </c>
      <c r="S31" s="5"/>
      <c r="T31" s="12" t="s">
        <v>122</v>
      </c>
      <c r="U31" s="12">
        <v>11</v>
      </c>
      <c r="V31" s="12">
        <v>48</v>
      </c>
      <c r="Z31" s="12" t="s">
        <v>123</v>
      </c>
      <c r="AA31" s="12"/>
      <c r="AB31" s="12">
        <v>1</v>
      </c>
      <c r="AC31" s="12">
        <v>1</v>
      </c>
      <c r="AE31" s="67" t="s">
        <v>124</v>
      </c>
      <c r="AF31" s="67"/>
      <c r="AG31" s="67"/>
      <c r="AJ31" s="39" t="s">
        <v>125</v>
      </c>
      <c r="AK31" s="39"/>
      <c r="AL31" s="39">
        <v>1</v>
      </c>
      <c r="AM31" s="39">
        <v>1</v>
      </c>
      <c r="AO31" s="43" t="s">
        <v>15</v>
      </c>
      <c r="AP31" s="32"/>
      <c r="AQ31" s="32">
        <v>12</v>
      </c>
      <c r="AR31" s="32">
        <v>13</v>
      </c>
    </row>
    <row r="32" spans="1:44" ht="15.6" x14ac:dyDescent="0.3">
      <c r="C32" s="2"/>
      <c r="D32" s="13" t="s">
        <v>86</v>
      </c>
      <c r="E32" s="46">
        <v>1800</v>
      </c>
      <c r="F32" s="19">
        <v>8.3806685911164917E-3</v>
      </c>
      <c r="G32" s="19">
        <v>0.94445479094887796</v>
      </c>
      <c r="I32" s="31" t="s">
        <v>11</v>
      </c>
      <c r="J32" s="32">
        <v>34730</v>
      </c>
      <c r="K32" s="32">
        <v>180050</v>
      </c>
      <c r="L32" s="50">
        <v>214780</v>
      </c>
      <c r="M32" s="52"/>
      <c r="N32" s="12" t="s">
        <v>86</v>
      </c>
      <c r="O32" s="12">
        <v>1800</v>
      </c>
      <c r="P32" s="20">
        <v>8.3806685911164917E-3</v>
      </c>
      <c r="Q32" s="20">
        <v>0.94445479094887796</v>
      </c>
      <c r="R32" s="20" t="s">
        <v>83</v>
      </c>
      <c r="S32" s="5"/>
      <c r="T32" s="12" t="s">
        <v>126</v>
      </c>
      <c r="U32" s="12">
        <v>10</v>
      </c>
      <c r="V32" s="12">
        <v>38</v>
      </c>
      <c r="Z32" s="12" t="s">
        <v>120</v>
      </c>
      <c r="AA32" s="12"/>
      <c r="AB32" s="12">
        <v>2</v>
      </c>
      <c r="AC32" s="12">
        <v>2</v>
      </c>
      <c r="AE32" s="27" t="s">
        <v>50</v>
      </c>
      <c r="AF32" s="76" t="s">
        <v>103</v>
      </c>
      <c r="AG32" s="76"/>
      <c r="AJ32" s="39" t="s">
        <v>116</v>
      </c>
      <c r="AK32" s="39"/>
      <c r="AL32" s="39">
        <v>1</v>
      </c>
      <c r="AM32" s="39">
        <v>1</v>
      </c>
      <c r="AO32" s="41" t="s">
        <v>69</v>
      </c>
      <c r="AP32" s="42"/>
      <c r="AQ32" s="42">
        <v>7</v>
      </c>
      <c r="AR32" s="42">
        <v>1</v>
      </c>
    </row>
    <row r="33" spans="3:44" ht="15.6" x14ac:dyDescent="0.3">
      <c r="C33" s="2"/>
      <c r="D33" s="13" t="s">
        <v>76</v>
      </c>
      <c r="E33" s="46">
        <v>1770</v>
      </c>
      <c r="F33" s="19">
        <v>8.2409907812645497E-3</v>
      </c>
      <c r="G33" s="19">
        <v>0.95269578173014247</v>
      </c>
      <c r="I33" s="31" t="s">
        <v>31</v>
      </c>
      <c r="J33" s="32">
        <v>23475</v>
      </c>
      <c r="K33" s="32">
        <v>15955</v>
      </c>
      <c r="L33" s="50">
        <v>39430</v>
      </c>
      <c r="M33" s="52"/>
      <c r="N33" s="12" t="s">
        <v>76</v>
      </c>
      <c r="O33" s="12">
        <v>1770</v>
      </c>
      <c r="P33" s="20">
        <v>8.2409907812645497E-3</v>
      </c>
      <c r="Q33" s="20">
        <v>0.95269578173014247</v>
      </c>
      <c r="R33" s="20" t="s">
        <v>83</v>
      </c>
      <c r="S33" s="5"/>
      <c r="T33" s="12" t="s">
        <v>127</v>
      </c>
      <c r="U33" s="12">
        <v>8</v>
      </c>
      <c r="V33" s="12">
        <v>36</v>
      </c>
      <c r="Z33" s="12" t="s">
        <v>81</v>
      </c>
      <c r="AA33" s="12"/>
      <c r="AB33" s="12">
        <v>1</v>
      </c>
      <c r="AC33" s="12">
        <v>1</v>
      </c>
      <c r="AE33" s="31" t="s">
        <v>18</v>
      </c>
      <c r="AF33" s="67">
        <v>18</v>
      </c>
      <c r="AG33" s="67"/>
      <c r="AJ33" s="39" t="s">
        <v>90</v>
      </c>
      <c r="AK33" s="39">
        <v>4</v>
      </c>
      <c r="AL33" s="39">
        <v>1</v>
      </c>
      <c r="AM33" s="39">
        <v>6</v>
      </c>
      <c r="AO33" s="43" t="s">
        <v>10</v>
      </c>
      <c r="AP33" s="32"/>
      <c r="AQ33" s="32">
        <v>1</v>
      </c>
      <c r="AR33" s="32"/>
    </row>
    <row r="34" spans="3:44" ht="15.6" x14ac:dyDescent="0.3">
      <c r="C34" s="2"/>
      <c r="D34" s="13" t="s">
        <v>88</v>
      </c>
      <c r="E34" s="46">
        <v>1750.0000000000002</v>
      </c>
      <c r="F34" s="19">
        <v>8.1478722413632562E-3</v>
      </c>
      <c r="G34" s="19">
        <v>0.96084365397150573</v>
      </c>
      <c r="I34" s="34" t="s">
        <v>49</v>
      </c>
      <c r="J34" s="27">
        <v>58205</v>
      </c>
      <c r="K34" s="27">
        <v>196005</v>
      </c>
      <c r="L34" s="49">
        <v>254210</v>
      </c>
      <c r="M34" s="26"/>
      <c r="N34" s="12" t="s">
        <v>88</v>
      </c>
      <c r="O34" s="12">
        <v>1750</v>
      </c>
      <c r="P34" s="20">
        <v>8.1478722413632562E-3</v>
      </c>
      <c r="Q34" s="20">
        <v>0.96084365397150573</v>
      </c>
      <c r="R34" s="20" t="s">
        <v>83</v>
      </c>
      <c r="S34" s="5"/>
      <c r="T34" s="12" t="s">
        <v>128</v>
      </c>
      <c r="U34" s="12">
        <v>11</v>
      </c>
      <c r="V34" s="12">
        <v>32</v>
      </c>
      <c r="Z34" s="12" t="s">
        <v>119</v>
      </c>
      <c r="AA34" s="12"/>
      <c r="AB34" s="12">
        <v>1</v>
      </c>
      <c r="AC34" s="12">
        <v>1</v>
      </c>
      <c r="AE34" s="31" t="s">
        <v>20</v>
      </c>
      <c r="AF34" s="67">
        <v>4</v>
      </c>
      <c r="AG34" s="67"/>
      <c r="AJ34" s="39" t="s">
        <v>85</v>
      </c>
      <c r="AK34" s="39"/>
      <c r="AL34" s="39">
        <v>1</v>
      </c>
      <c r="AM34" s="39">
        <v>3</v>
      </c>
      <c r="AO34" s="43" t="s">
        <v>15</v>
      </c>
      <c r="AP34" s="32"/>
      <c r="AQ34" s="32">
        <v>6</v>
      </c>
      <c r="AR34" s="32">
        <v>1</v>
      </c>
    </row>
    <row r="35" spans="3:44" ht="15.6" x14ac:dyDescent="0.3">
      <c r="C35" s="2"/>
      <c r="D35" s="13" t="s">
        <v>102</v>
      </c>
      <c r="E35" s="46">
        <v>1460</v>
      </c>
      <c r="F35" s="19">
        <v>6.7976534127944877E-3</v>
      </c>
      <c r="G35" s="19">
        <v>0.96764130738430021</v>
      </c>
      <c r="I35" s="11"/>
      <c r="J35" s="18"/>
      <c r="K35" s="18"/>
      <c r="N35" s="12" t="s">
        <v>102</v>
      </c>
      <c r="O35" s="12">
        <v>1460</v>
      </c>
      <c r="P35" s="20">
        <v>6.7976534127944877E-3</v>
      </c>
      <c r="Q35" s="20">
        <v>0.96764130738430021</v>
      </c>
      <c r="R35" s="20" t="s">
        <v>83</v>
      </c>
      <c r="S35" s="5"/>
      <c r="T35" s="12" t="s">
        <v>129</v>
      </c>
      <c r="U35" s="12">
        <v>4</v>
      </c>
      <c r="V35" s="12">
        <v>26</v>
      </c>
      <c r="Z35" s="12" t="s">
        <v>130</v>
      </c>
      <c r="AA35" s="12"/>
      <c r="AB35" s="12">
        <v>1</v>
      </c>
      <c r="AC35" s="12">
        <v>1</v>
      </c>
      <c r="AE35" s="31" t="s">
        <v>14</v>
      </c>
      <c r="AF35" s="67">
        <v>61</v>
      </c>
      <c r="AG35" s="67"/>
      <c r="AJ35" s="39" t="s">
        <v>89</v>
      </c>
      <c r="AK35" s="39"/>
      <c r="AL35" s="39"/>
      <c r="AM35" s="39">
        <v>1</v>
      </c>
      <c r="AO35" s="41" t="s">
        <v>25</v>
      </c>
      <c r="AP35" s="42"/>
      <c r="AQ35" s="42">
        <v>6</v>
      </c>
      <c r="AR35" s="42">
        <v>4</v>
      </c>
    </row>
    <row r="36" spans="3:44" ht="15.6" x14ac:dyDescent="0.3">
      <c r="C36" s="2"/>
      <c r="D36" s="13" t="s">
        <v>116</v>
      </c>
      <c r="E36" s="46">
        <v>1160</v>
      </c>
      <c r="F36" s="19">
        <v>5.4008753142750724E-3</v>
      </c>
      <c r="G36" s="19">
        <v>0.97304218269857523</v>
      </c>
      <c r="I36" s="11"/>
      <c r="J36" s="18"/>
      <c r="K36" s="18"/>
      <c r="N36" s="12" t="s">
        <v>116</v>
      </c>
      <c r="O36" s="12">
        <v>1160</v>
      </c>
      <c r="P36" s="20">
        <v>5.4008753142750724E-3</v>
      </c>
      <c r="Q36" s="20">
        <v>0.97304218269857523</v>
      </c>
      <c r="R36" s="20" t="s">
        <v>83</v>
      </c>
      <c r="S36" s="5"/>
      <c r="T36" s="12" t="s">
        <v>131</v>
      </c>
      <c r="U36" s="12">
        <v>7</v>
      </c>
      <c r="V36" s="12">
        <v>51</v>
      </c>
      <c r="Z36" s="12" t="s">
        <v>108</v>
      </c>
      <c r="AA36" s="12"/>
      <c r="AB36" s="12">
        <v>1</v>
      </c>
      <c r="AC36" s="12">
        <v>1</v>
      </c>
      <c r="AJ36" s="39" t="s">
        <v>132</v>
      </c>
      <c r="AK36" s="39"/>
      <c r="AL36" s="39"/>
      <c r="AM36" s="39">
        <v>1</v>
      </c>
      <c r="AO36" s="43" t="s">
        <v>15</v>
      </c>
      <c r="AP36" s="32"/>
      <c r="AQ36" s="32">
        <v>6</v>
      </c>
      <c r="AR36" s="32">
        <v>4</v>
      </c>
    </row>
    <row r="37" spans="3:44" ht="15.6" x14ac:dyDescent="0.3">
      <c r="C37" s="2"/>
      <c r="D37" s="13" t="s">
        <v>125</v>
      </c>
      <c r="E37" s="46">
        <v>1100</v>
      </c>
      <c r="F37" s="19">
        <v>5.1215196945711894E-3</v>
      </c>
      <c r="G37" s="19">
        <v>0.97816370239314643</v>
      </c>
      <c r="I37" s="11"/>
      <c r="J37" s="18"/>
      <c r="K37" s="18"/>
      <c r="N37" s="12" t="s">
        <v>125</v>
      </c>
      <c r="O37" s="12">
        <v>1100</v>
      </c>
      <c r="P37" s="20">
        <v>5.1215196945711894E-3</v>
      </c>
      <c r="Q37" s="20">
        <v>0.97816370239314643</v>
      </c>
      <c r="R37" s="20" t="s">
        <v>83</v>
      </c>
      <c r="S37" s="5"/>
      <c r="T37" s="12" t="s">
        <v>107</v>
      </c>
      <c r="U37" s="12">
        <v>4</v>
      </c>
      <c r="V37" s="12">
        <v>33</v>
      </c>
      <c r="Z37" s="12" t="s">
        <v>117</v>
      </c>
      <c r="AA37" s="12"/>
      <c r="AB37" s="12">
        <v>1</v>
      </c>
      <c r="AC37" s="12">
        <v>1</v>
      </c>
      <c r="AE37" s="67" t="s">
        <v>133</v>
      </c>
      <c r="AF37" s="67"/>
      <c r="AG37" s="67"/>
      <c r="AJ37" s="39" t="s">
        <v>16</v>
      </c>
      <c r="AK37" s="39"/>
      <c r="AL37" s="39"/>
      <c r="AM37" s="39">
        <v>2</v>
      </c>
      <c r="AO37" s="41" t="s">
        <v>26</v>
      </c>
      <c r="AP37" s="42">
        <v>2</v>
      </c>
      <c r="AQ37" s="42">
        <v>5</v>
      </c>
      <c r="AR37" s="42">
        <v>2</v>
      </c>
    </row>
    <row r="38" spans="3:44" ht="15.6" x14ac:dyDescent="0.3">
      <c r="C38" s="2"/>
      <c r="D38" s="13" t="s">
        <v>132</v>
      </c>
      <c r="E38" s="46">
        <v>900</v>
      </c>
      <c r="F38" s="19">
        <v>4.1903342955582458E-3</v>
      </c>
      <c r="G38" s="19">
        <v>0.98235403668870469</v>
      </c>
      <c r="I38" s="11"/>
      <c r="J38" s="18"/>
      <c r="K38" s="18"/>
      <c r="N38" s="12" t="s">
        <v>132</v>
      </c>
      <c r="O38" s="12">
        <v>900</v>
      </c>
      <c r="P38" s="20">
        <v>4.1903342955582458E-3</v>
      </c>
      <c r="Q38" s="20">
        <v>0.98235403668870469</v>
      </c>
      <c r="R38" s="20" t="s">
        <v>83</v>
      </c>
      <c r="S38" s="5"/>
      <c r="T38" s="12" t="s">
        <v>109</v>
      </c>
      <c r="U38" s="12">
        <v>8</v>
      </c>
      <c r="V38" s="12">
        <v>26</v>
      </c>
      <c r="Z38" s="12" t="s">
        <v>132</v>
      </c>
      <c r="AA38" s="12"/>
      <c r="AB38" s="12">
        <v>1</v>
      </c>
      <c r="AC38" s="12">
        <v>1</v>
      </c>
      <c r="AE38" s="32" t="s">
        <v>47</v>
      </c>
      <c r="AF38" s="67" t="s">
        <v>134</v>
      </c>
      <c r="AG38" s="67"/>
      <c r="AJ38" s="39" t="s">
        <v>113</v>
      </c>
      <c r="AK38" s="39"/>
      <c r="AL38" s="39"/>
      <c r="AM38" s="39">
        <v>4</v>
      </c>
      <c r="AO38" s="43" t="s">
        <v>10</v>
      </c>
      <c r="AP38" s="32">
        <v>2</v>
      </c>
      <c r="AQ38" s="32">
        <v>1</v>
      </c>
      <c r="AR38" s="32">
        <v>1</v>
      </c>
    </row>
    <row r="39" spans="3:44" ht="15.6" x14ac:dyDescent="0.3">
      <c r="C39" s="2"/>
      <c r="D39" s="13" t="s">
        <v>123</v>
      </c>
      <c r="E39" s="46">
        <v>800</v>
      </c>
      <c r="F39" s="19">
        <v>3.7247415960517741E-3</v>
      </c>
      <c r="G39" s="19">
        <v>0.98607877828475643</v>
      </c>
      <c r="I39" s="11"/>
      <c r="J39" s="18"/>
      <c r="K39" s="18"/>
      <c r="N39" s="12" t="s">
        <v>123</v>
      </c>
      <c r="O39" s="12">
        <v>800</v>
      </c>
      <c r="P39" s="20">
        <v>3.7247415960517741E-3</v>
      </c>
      <c r="Q39" s="20">
        <v>0.98607877828475643</v>
      </c>
      <c r="R39" s="20" t="s">
        <v>83</v>
      </c>
      <c r="S39" s="5"/>
      <c r="T39" s="12" t="s">
        <v>111</v>
      </c>
      <c r="U39" s="12">
        <v>9</v>
      </c>
      <c r="V39" s="12">
        <v>47</v>
      </c>
      <c r="Z39" s="12" t="s">
        <v>21</v>
      </c>
      <c r="AA39" s="12"/>
      <c r="AB39" s="12">
        <v>14</v>
      </c>
      <c r="AC39" s="12">
        <v>14</v>
      </c>
      <c r="AE39" s="31" t="s">
        <v>11</v>
      </c>
      <c r="AF39" s="67">
        <v>32070</v>
      </c>
      <c r="AG39" s="67"/>
      <c r="AJ39" s="39" t="s">
        <v>97</v>
      </c>
      <c r="AK39" s="39"/>
      <c r="AL39" s="39"/>
      <c r="AM39" s="39">
        <v>1</v>
      </c>
      <c r="AO39" s="43" t="s">
        <v>15</v>
      </c>
      <c r="AP39" s="32"/>
      <c r="AQ39" s="32">
        <v>4</v>
      </c>
      <c r="AR39" s="32">
        <v>1</v>
      </c>
    </row>
    <row r="40" spans="3:44" ht="15.6" x14ac:dyDescent="0.3">
      <c r="C40" s="2"/>
      <c r="D40" s="13" t="s">
        <v>85</v>
      </c>
      <c r="E40" s="46">
        <v>670</v>
      </c>
      <c r="F40" s="19">
        <v>3.1194710866933608E-3</v>
      </c>
      <c r="G40" s="19">
        <v>0.98919824937144984</v>
      </c>
      <c r="I40" s="11"/>
      <c r="J40" s="18"/>
      <c r="K40" s="18"/>
      <c r="N40" s="12" t="s">
        <v>85</v>
      </c>
      <c r="O40" s="12">
        <v>670</v>
      </c>
      <c r="P40" s="20">
        <v>3.1194710866933608E-3</v>
      </c>
      <c r="Q40" s="20">
        <v>0.98919824937144984</v>
      </c>
      <c r="R40" s="20" t="s">
        <v>83</v>
      </c>
      <c r="S40" s="5"/>
      <c r="T40" s="12" t="s">
        <v>114</v>
      </c>
      <c r="U40" s="12">
        <v>4</v>
      </c>
      <c r="V40" s="12">
        <v>26</v>
      </c>
      <c r="Z40" s="12" t="s">
        <v>112</v>
      </c>
      <c r="AA40" s="12"/>
      <c r="AB40" s="12">
        <v>1</v>
      </c>
      <c r="AC40" s="12">
        <v>1</v>
      </c>
      <c r="AE40" s="31" t="s">
        <v>31</v>
      </c>
      <c r="AF40" s="67">
        <v>280</v>
      </c>
      <c r="AG40" s="67"/>
      <c r="AJ40" s="39" t="s">
        <v>78</v>
      </c>
      <c r="AK40" s="39"/>
      <c r="AL40" s="39"/>
      <c r="AM40" s="39">
        <v>2</v>
      </c>
      <c r="AO40" s="41" t="s">
        <v>21</v>
      </c>
      <c r="AP40" s="42"/>
      <c r="AQ40" s="42">
        <v>5</v>
      </c>
      <c r="AR40" s="42">
        <v>9</v>
      </c>
    </row>
    <row r="41" spans="3:44" ht="15.6" x14ac:dyDescent="0.3">
      <c r="C41" s="2"/>
      <c r="D41" s="13" t="s">
        <v>117</v>
      </c>
      <c r="E41" s="46">
        <v>650</v>
      </c>
      <c r="F41" s="19">
        <v>3.0263525467920664E-3</v>
      </c>
      <c r="G41" s="19">
        <v>0.99222460191824191</v>
      </c>
      <c r="I41" s="11"/>
      <c r="J41" s="18"/>
      <c r="K41" s="18"/>
      <c r="N41" s="12" t="s">
        <v>117</v>
      </c>
      <c r="O41" s="12">
        <v>650</v>
      </c>
      <c r="P41" s="20">
        <v>3.0263525467920664E-3</v>
      </c>
      <c r="Q41" s="20">
        <v>0.99222460191824191</v>
      </c>
      <c r="R41" s="20" t="s">
        <v>83</v>
      </c>
      <c r="S41" s="5"/>
      <c r="T41" s="12" t="s">
        <v>115</v>
      </c>
      <c r="U41" s="12">
        <v>9</v>
      </c>
      <c r="V41" s="12">
        <v>40</v>
      </c>
      <c r="Z41" s="12" t="s">
        <v>25</v>
      </c>
      <c r="AA41" s="12"/>
      <c r="AB41" s="12">
        <v>10</v>
      </c>
      <c r="AC41" s="12">
        <v>10</v>
      </c>
      <c r="AE41" s="31" t="s">
        <v>49</v>
      </c>
      <c r="AF41" s="67">
        <v>32350</v>
      </c>
      <c r="AG41" s="67"/>
      <c r="AJ41" s="39" t="s">
        <v>81</v>
      </c>
      <c r="AK41" s="39"/>
      <c r="AL41" s="39"/>
      <c r="AM41" s="39">
        <v>1</v>
      </c>
      <c r="AO41" s="43" t="s">
        <v>15</v>
      </c>
      <c r="AP41" s="32"/>
      <c r="AQ41" s="32">
        <v>5</v>
      </c>
      <c r="AR41" s="32">
        <v>9</v>
      </c>
    </row>
    <row r="42" spans="3:44" ht="15.6" x14ac:dyDescent="0.3">
      <c r="C42" s="2"/>
      <c r="D42" s="13" t="s">
        <v>108</v>
      </c>
      <c r="E42" s="46">
        <v>620</v>
      </c>
      <c r="F42" s="19">
        <v>2.8866747369401249E-3</v>
      </c>
      <c r="G42" s="19">
        <v>0.99511127665518206</v>
      </c>
      <c r="I42" s="11"/>
      <c r="J42" s="18"/>
      <c r="K42" s="18"/>
      <c r="N42" s="12" t="s">
        <v>108</v>
      </c>
      <c r="O42" s="12">
        <v>620</v>
      </c>
      <c r="P42" s="20">
        <v>2.8866747369401249E-3</v>
      </c>
      <c r="Q42" s="20">
        <v>0.99511127665518206</v>
      </c>
      <c r="R42" s="20" t="s">
        <v>83</v>
      </c>
      <c r="S42" s="5"/>
      <c r="Z42" s="12" t="s">
        <v>93</v>
      </c>
      <c r="AA42" s="12"/>
      <c r="AB42" s="12">
        <v>5</v>
      </c>
      <c r="AC42" s="12">
        <v>5</v>
      </c>
      <c r="AJ42" s="39" t="s">
        <v>91</v>
      </c>
      <c r="AK42" s="39">
        <v>3</v>
      </c>
      <c r="AL42" s="39"/>
      <c r="AM42" s="39">
        <v>3</v>
      </c>
      <c r="AO42" s="41" t="s">
        <v>84</v>
      </c>
      <c r="AP42" s="42">
        <v>1</v>
      </c>
      <c r="AQ42" s="42">
        <v>5</v>
      </c>
      <c r="AR42" s="42">
        <v>1</v>
      </c>
    </row>
    <row r="43" spans="3:44" ht="15.6" x14ac:dyDescent="0.3">
      <c r="C43" s="2"/>
      <c r="D43" s="13" t="s">
        <v>130</v>
      </c>
      <c r="E43" s="46">
        <v>600</v>
      </c>
      <c r="F43" s="19">
        <v>2.7935561970388306E-3</v>
      </c>
      <c r="G43" s="19">
        <v>0.99790483285222087</v>
      </c>
      <c r="I43" s="11"/>
      <c r="J43" s="18"/>
      <c r="K43" s="18"/>
      <c r="N43" s="12" t="s">
        <v>130</v>
      </c>
      <c r="O43" s="12">
        <v>600</v>
      </c>
      <c r="P43" s="20">
        <v>2.7935561970388306E-3</v>
      </c>
      <c r="Q43" s="20">
        <v>0.99790483285222087</v>
      </c>
      <c r="R43" s="20" t="s">
        <v>83</v>
      </c>
      <c r="S43" s="5"/>
      <c r="Z43" s="12" t="s">
        <v>125</v>
      </c>
      <c r="AA43" s="12"/>
      <c r="AB43" s="12">
        <v>2</v>
      </c>
      <c r="AC43" s="12">
        <v>2</v>
      </c>
      <c r="AJ43" s="39" t="s">
        <v>130</v>
      </c>
      <c r="AK43" s="39"/>
      <c r="AL43" s="39"/>
      <c r="AM43" s="39">
        <v>1</v>
      </c>
      <c r="AO43" s="43" t="s">
        <v>15</v>
      </c>
      <c r="AP43" s="32">
        <v>1</v>
      </c>
      <c r="AQ43" s="32">
        <v>5</v>
      </c>
      <c r="AR43" s="32">
        <v>1</v>
      </c>
    </row>
    <row r="44" spans="3:44" ht="15.6" x14ac:dyDescent="0.3">
      <c r="C44" s="2"/>
      <c r="D44" s="13" t="s">
        <v>112</v>
      </c>
      <c r="E44" s="46">
        <v>250</v>
      </c>
      <c r="F44" s="19">
        <v>1.1639817487661794E-3</v>
      </c>
      <c r="G44" s="19">
        <v>0.99906881460098707</v>
      </c>
      <c r="I44" s="11"/>
      <c r="J44" s="18"/>
      <c r="K44" s="18"/>
      <c r="N44" s="12" t="s">
        <v>112</v>
      </c>
      <c r="O44" s="12">
        <v>250</v>
      </c>
      <c r="P44" s="20">
        <v>1.1639817487661794E-3</v>
      </c>
      <c r="Q44" s="20">
        <v>0.99906881460098707</v>
      </c>
      <c r="R44" s="20" t="s">
        <v>83</v>
      </c>
      <c r="S44" s="5"/>
      <c r="Z44" s="12" t="s">
        <v>104</v>
      </c>
      <c r="AA44" s="12"/>
      <c r="AB44" s="12">
        <v>2</v>
      </c>
      <c r="AC44" s="12">
        <v>2</v>
      </c>
      <c r="AJ44" s="39" t="s">
        <v>123</v>
      </c>
      <c r="AK44" s="39">
        <v>1</v>
      </c>
      <c r="AL44" s="39"/>
      <c r="AM44" s="39"/>
      <c r="AO44" s="41" t="s">
        <v>17</v>
      </c>
      <c r="AP44" s="42">
        <v>2</v>
      </c>
      <c r="AQ44" s="42">
        <v>4</v>
      </c>
      <c r="AR44" s="42">
        <v>3</v>
      </c>
    </row>
    <row r="45" spans="3:44" ht="15.6" x14ac:dyDescent="0.3">
      <c r="C45" s="2"/>
      <c r="D45" s="13" t="s">
        <v>119</v>
      </c>
      <c r="E45" s="46">
        <v>200</v>
      </c>
      <c r="F45" s="19">
        <v>9.3118539901294352E-4</v>
      </c>
      <c r="G45" s="19">
        <v>1</v>
      </c>
      <c r="I45" s="11"/>
      <c r="J45" s="18"/>
      <c r="K45" s="18"/>
      <c r="N45" s="12" t="s">
        <v>119</v>
      </c>
      <c r="O45" s="12">
        <v>200</v>
      </c>
      <c r="P45" s="20">
        <v>9.3118539901294352E-4</v>
      </c>
      <c r="Q45" s="20">
        <v>1</v>
      </c>
      <c r="R45" s="20" t="s">
        <v>83</v>
      </c>
      <c r="S45" s="5"/>
      <c r="Z45" s="12" t="s">
        <v>92</v>
      </c>
      <c r="AA45" s="12"/>
      <c r="AB45" s="12">
        <v>4</v>
      </c>
      <c r="AC45" s="12">
        <v>4</v>
      </c>
      <c r="AJ45" s="39" t="s">
        <v>120</v>
      </c>
      <c r="AK45" s="39"/>
      <c r="AL45" s="39"/>
      <c r="AM45" s="39">
        <v>2</v>
      </c>
      <c r="AO45" s="43" t="s">
        <v>10</v>
      </c>
      <c r="AP45" s="32"/>
      <c r="AQ45" s="32">
        <v>1</v>
      </c>
      <c r="AR45" s="32">
        <v>1</v>
      </c>
    </row>
    <row r="46" spans="3:44" ht="15.6" x14ac:dyDescent="0.3">
      <c r="C46" s="2"/>
      <c r="D46" s="11"/>
      <c r="E46" s="13"/>
      <c r="H46" s="11"/>
      <c r="I46" s="18"/>
      <c r="J46" s="18"/>
      <c r="N46" s="21" t="s">
        <v>38</v>
      </c>
      <c r="O46" s="55">
        <v>214780</v>
      </c>
      <c r="Z46" s="34" t="s">
        <v>49</v>
      </c>
      <c r="AA46" s="27">
        <v>92</v>
      </c>
      <c r="AB46" s="27">
        <v>435</v>
      </c>
      <c r="AC46" s="27">
        <v>527</v>
      </c>
      <c r="AJ46" s="28" t="s">
        <v>49</v>
      </c>
      <c r="AK46" s="28">
        <v>72</v>
      </c>
      <c r="AL46" s="28">
        <v>202</v>
      </c>
      <c r="AM46" s="15">
        <v>253</v>
      </c>
      <c r="AO46" s="43" t="s">
        <v>15</v>
      </c>
      <c r="AP46" s="32">
        <v>2</v>
      </c>
      <c r="AQ46" s="32">
        <v>3</v>
      </c>
      <c r="AR46" s="32">
        <v>2</v>
      </c>
    </row>
    <row r="47" spans="3:44" ht="15.6" x14ac:dyDescent="0.3">
      <c r="C47" s="2"/>
      <c r="D47" s="11"/>
      <c r="H47" s="11"/>
      <c r="I47" s="18"/>
      <c r="J47" s="18"/>
    </row>
    <row r="48" spans="3:44" ht="15.6" x14ac:dyDescent="0.3">
      <c r="C48" s="2"/>
      <c r="D48" s="11"/>
      <c r="H48" s="11"/>
      <c r="I48" s="18"/>
      <c r="J48" s="18"/>
    </row>
    <row r="49" spans="3:10" ht="15.6" x14ac:dyDescent="0.3">
      <c r="C49" s="2"/>
      <c r="D49" s="11"/>
      <c r="H49" s="11"/>
      <c r="I49" s="18"/>
      <c r="J49" s="18"/>
    </row>
    <row r="50" spans="3:10" ht="15.6" x14ac:dyDescent="0.3">
      <c r="C50" s="2"/>
      <c r="D50" s="11"/>
      <c r="H50" s="11"/>
      <c r="I50" s="18"/>
      <c r="J50" s="18"/>
    </row>
    <row r="51" spans="3:10" ht="15.6" x14ac:dyDescent="0.3">
      <c r="C51" s="2"/>
      <c r="D51" s="11"/>
      <c r="H51" s="11"/>
      <c r="I51" s="18"/>
      <c r="J51" s="18"/>
    </row>
    <row r="52" spans="3:10" ht="15.6" x14ac:dyDescent="0.3">
      <c r="C52" s="2"/>
      <c r="D52" s="11"/>
      <c r="H52" s="11"/>
      <c r="I52" s="18"/>
      <c r="J52" s="18"/>
    </row>
    <row r="53" spans="3:10" ht="15.6" x14ac:dyDescent="0.3">
      <c r="C53" s="2"/>
      <c r="D53" s="11"/>
      <c r="H53" s="11"/>
      <c r="I53" s="18"/>
      <c r="J53" s="18"/>
    </row>
    <row r="54" spans="3:10" ht="15.6" x14ac:dyDescent="0.3">
      <c r="C54" s="2"/>
      <c r="D54" s="11"/>
      <c r="H54" s="11"/>
      <c r="I54" s="18"/>
      <c r="J54" s="18"/>
    </row>
    <row r="55" spans="3:10" ht="15.6" x14ac:dyDescent="0.3">
      <c r="C55" s="2"/>
      <c r="D55" s="11"/>
      <c r="H55" s="11"/>
      <c r="I55" s="18"/>
      <c r="J55" s="18"/>
    </row>
    <row r="56" spans="3:10" ht="15.6" x14ac:dyDescent="0.3">
      <c r="C56" s="2"/>
      <c r="D56" s="11"/>
      <c r="H56" s="11"/>
      <c r="I56" s="18"/>
      <c r="J56" s="18"/>
    </row>
    <row r="57" spans="3:10" ht="15.6" x14ac:dyDescent="0.3">
      <c r="C57" s="2"/>
      <c r="D57" s="11"/>
      <c r="H57" s="11"/>
      <c r="I57" s="18"/>
      <c r="J57" s="18"/>
    </row>
    <row r="58" spans="3:10" ht="15.6" x14ac:dyDescent="0.3">
      <c r="C58" s="2"/>
      <c r="D58" s="11"/>
      <c r="H58" s="11"/>
      <c r="I58" s="18"/>
      <c r="J58" s="18"/>
    </row>
    <row r="59" spans="3:10" ht="15.6" x14ac:dyDescent="0.3">
      <c r="C59" s="2"/>
      <c r="D59" s="11"/>
      <c r="H59" s="11"/>
      <c r="I59" s="18"/>
      <c r="J59" s="18"/>
    </row>
    <row r="60" spans="3:10" ht="15.6" x14ac:dyDescent="0.3">
      <c r="C60" s="2"/>
      <c r="D60" s="6"/>
    </row>
    <row r="61" spans="3:10" ht="15.6" x14ac:dyDescent="0.3">
      <c r="C61" s="2"/>
      <c r="D61" s="6"/>
    </row>
    <row r="62" spans="3:10" ht="15.6" x14ac:dyDescent="0.3">
      <c r="C62" s="2"/>
      <c r="D62" s="6"/>
    </row>
    <row r="63" spans="3:10" ht="15.6" x14ac:dyDescent="0.3">
      <c r="C63" s="2"/>
      <c r="D63" s="6"/>
    </row>
    <row r="64" spans="3:10" ht="15.6" x14ac:dyDescent="0.3">
      <c r="C64" s="2"/>
      <c r="D64" s="6"/>
    </row>
    <row r="65" spans="3:4" ht="15.6" x14ac:dyDescent="0.3">
      <c r="C65" s="2"/>
      <c r="D65" s="2"/>
    </row>
    <row r="66" spans="3:4" ht="15.6" x14ac:dyDescent="0.3">
      <c r="C66" s="2"/>
      <c r="D66" s="6"/>
    </row>
    <row r="67" spans="3:4" ht="15.6" x14ac:dyDescent="0.3">
      <c r="C67" s="2"/>
      <c r="D67" s="6"/>
    </row>
    <row r="68" spans="3:4" ht="15.6" x14ac:dyDescent="0.3">
      <c r="C68" s="2"/>
      <c r="D68" s="2"/>
    </row>
    <row r="69" spans="3:4" ht="15.6" x14ac:dyDescent="0.3">
      <c r="C69" s="2"/>
      <c r="D69" s="6"/>
    </row>
    <row r="70" spans="3:4" ht="15.6" x14ac:dyDescent="0.3">
      <c r="C70" s="2"/>
      <c r="D70" s="6"/>
    </row>
    <row r="71" spans="3:4" ht="15.6" x14ac:dyDescent="0.3">
      <c r="C71" s="2"/>
      <c r="D71" s="6"/>
    </row>
    <row r="72" spans="3:4" ht="15.6" x14ac:dyDescent="0.3">
      <c r="C72" s="2"/>
      <c r="D72" s="6"/>
    </row>
    <row r="73" spans="3:4" ht="15.6" x14ac:dyDescent="0.3">
      <c r="C73" s="2"/>
      <c r="D73" s="6"/>
    </row>
    <row r="74" spans="3:4" ht="15.6" x14ac:dyDescent="0.3">
      <c r="C74" s="2"/>
      <c r="D74" s="6"/>
    </row>
    <row r="75" spans="3:4" ht="15.6" x14ac:dyDescent="0.3">
      <c r="C75" s="2"/>
      <c r="D75" s="6"/>
    </row>
    <row r="76" spans="3:4" ht="15.6" x14ac:dyDescent="0.3">
      <c r="C76" s="2"/>
      <c r="D76" s="6"/>
    </row>
    <row r="77" spans="3:4" ht="15.6" x14ac:dyDescent="0.3">
      <c r="C77" s="2"/>
      <c r="D77" s="6"/>
    </row>
    <row r="78" spans="3:4" ht="15.6" x14ac:dyDescent="0.3">
      <c r="C78" s="2"/>
      <c r="D78" s="2"/>
    </row>
    <row r="79" spans="3:4" ht="15.6" x14ac:dyDescent="0.3">
      <c r="C79" s="2"/>
      <c r="D79" s="6"/>
    </row>
    <row r="80" spans="3:4" ht="15.6" x14ac:dyDescent="0.3">
      <c r="C80" s="2"/>
      <c r="D80" s="6"/>
    </row>
    <row r="81" spans="3:4" ht="15.6" x14ac:dyDescent="0.3">
      <c r="C81" s="2"/>
      <c r="D81" s="6"/>
    </row>
    <row r="82" spans="3:4" ht="15.6" x14ac:dyDescent="0.3">
      <c r="C82" s="2"/>
      <c r="D82" s="6"/>
    </row>
    <row r="83" spans="3:4" ht="15.6" x14ac:dyDescent="0.3">
      <c r="C83" s="2"/>
      <c r="D83" s="6"/>
    </row>
    <row r="84" spans="3:4" ht="15.6" x14ac:dyDescent="0.3">
      <c r="C84" s="2"/>
      <c r="D84" s="6"/>
    </row>
    <row r="85" spans="3:4" ht="15.6" x14ac:dyDescent="0.3">
      <c r="C85" s="2"/>
      <c r="D85" s="6"/>
    </row>
    <row r="86" spans="3:4" ht="15.6" x14ac:dyDescent="0.3">
      <c r="C86" s="2"/>
      <c r="D86" s="6"/>
    </row>
    <row r="87" spans="3:4" ht="15.6" x14ac:dyDescent="0.3">
      <c r="C87" s="2"/>
      <c r="D87" s="6"/>
    </row>
    <row r="88" spans="3:4" ht="15.6" x14ac:dyDescent="0.3">
      <c r="C88" s="2"/>
      <c r="D88" s="2"/>
    </row>
    <row r="89" spans="3:4" ht="15.6" x14ac:dyDescent="0.3">
      <c r="C89" s="2"/>
      <c r="D89" s="6"/>
    </row>
    <row r="90" spans="3:4" ht="15.6" x14ac:dyDescent="0.3">
      <c r="C90" s="2"/>
      <c r="D90" s="6"/>
    </row>
    <row r="91" spans="3:4" ht="15.6" x14ac:dyDescent="0.3">
      <c r="C91" s="7"/>
      <c r="D91" s="6"/>
    </row>
    <row r="92" spans="3:4" ht="15.6" x14ac:dyDescent="0.3">
      <c r="C92" s="2"/>
      <c r="D92" s="6"/>
    </row>
    <row r="93" spans="3:4" ht="15.6" x14ac:dyDescent="0.3">
      <c r="C93" s="7"/>
      <c r="D93" s="6"/>
    </row>
    <row r="94" spans="3:4" ht="15.6" x14ac:dyDescent="0.3">
      <c r="C94" s="7"/>
      <c r="D94" s="2"/>
    </row>
    <row r="95" spans="3:4" ht="15.6" x14ac:dyDescent="0.3">
      <c r="C95" s="2"/>
      <c r="D95" s="6"/>
    </row>
    <row r="96" spans="3:4" ht="15.6" x14ac:dyDescent="0.3">
      <c r="C96" s="7"/>
      <c r="D96" s="6"/>
    </row>
    <row r="97" spans="3:4" ht="15.6" x14ac:dyDescent="0.3">
      <c r="C97" s="2"/>
      <c r="D97" s="6"/>
    </row>
    <row r="98" spans="3:4" ht="15.6" x14ac:dyDescent="0.3">
      <c r="C98" s="2"/>
      <c r="D98" s="2"/>
    </row>
    <row r="99" spans="3:4" ht="15.6" x14ac:dyDescent="0.3">
      <c r="C99" s="7"/>
      <c r="D99" s="6"/>
    </row>
    <row r="100" spans="3:4" ht="15.6" x14ac:dyDescent="0.3">
      <c r="C100" s="2"/>
      <c r="D100" s="6"/>
    </row>
    <row r="101" spans="3:4" ht="15.6" x14ac:dyDescent="0.3">
      <c r="C101" s="2"/>
      <c r="D101" s="2"/>
    </row>
    <row r="102" spans="3:4" ht="15.6" x14ac:dyDescent="0.3">
      <c r="C102" s="2"/>
      <c r="D102" s="6"/>
    </row>
    <row r="103" spans="3:4" ht="15.6" x14ac:dyDescent="0.3">
      <c r="C103" s="2"/>
      <c r="D103" s="6"/>
    </row>
    <row r="104" spans="3:4" ht="15.6" x14ac:dyDescent="0.3">
      <c r="C104" s="2"/>
      <c r="D104" s="6"/>
    </row>
    <row r="105" spans="3:4" ht="15.6" x14ac:dyDescent="0.3">
      <c r="C105" s="2"/>
      <c r="D105" s="6"/>
    </row>
    <row r="106" spans="3:4" ht="15.6" x14ac:dyDescent="0.3">
      <c r="C106" s="2"/>
      <c r="D106" s="2"/>
    </row>
    <row r="107" spans="3:4" ht="15.6" x14ac:dyDescent="0.3">
      <c r="C107" s="2"/>
      <c r="D107" s="2"/>
    </row>
    <row r="108" spans="3:4" ht="15.6" x14ac:dyDescent="0.3">
      <c r="C108" s="2"/>
      <c r="D108" s="6"/>
    </row>
    <row r="109" spans="3:4" ht="15.6" x14ac:dyDescent="0.3">
      <c r="C109" s="2"/>
      <c r="D109" s="6"/>
    </row>
    <row r="110" spans="3:4" ht="15.6" x14ac:dyDescent="0.3">
      <c r="C110" s="2"/>
      <c r="D110" s="6"/>
    </row>
    <row r="111" spans="3:4" ht="15.6" x14ac:dyDescent="0.3">
      <c r="C111" s="2"/>
      <c r="D111" s="6"/>
    </row>
    <row r="112" spans="3:4" ht="15.6" x14ac:dyDescent="0.3">
      <c r="C112" s="2"/>
      <c r="D112" s="6"/>
    </row>
    <row r="113" spans="3:4" ht="15.6" x14ac:dyDescent="0.3">
      <c r="C113" s="7"/>
      <c r="D113" s="6"/>
    </row>
    <row r="114" spans="3:4" ht="15.6" x14ac:dyDescent="0.3">
      <c r="C114" s="2"/>
      <c r="D114" s="6"/>
    </row>
    <row r="115" spans="3:4" ht="15.6" x14ac:dyDescent="0.3">
      <c r="C115" s="2"/>
      <c r="D115" s="6"/>
    </row>
    <row r="116" spans="3:4" ht="15.6" x14ac:dyDescent="0.3">
      <c r="C116" s="7"/>
      <c r="D116" s="6"/>
    </row>
    <row r="117" spans="3:4" ht="15.6" x14ac:dyDescent="0.3">
      <c r="C117" s="2"/>
      <c r="D117" s="6"/>
    </row>
    <row r="118" spans="3:4" ht="15.6" x14ac:dyDescent="0.3">
      <c r="C118" s="2"/>
      <c r="D118" s="6"/>
    </row>
    <row r="119" spans="3:4" ht="15.6" x14ac:dyDescent="0.3">
      <c r="C119" s="2"/>
      <c r="D119" s="6"/>
    </row>
    <row r="120" spans="3:4" ht="15.6" x14ac:dyDescent="0.3">
      <c r="C120" s="7"/>
      <c r="D120" s="6"/>
    </row>
    <row r="121" spans="3:4" ht="15.6" x14ac:dyDescent="0.3">
      <c r="C121" s="2"/>
      <c r="D121" s="6"/>
    </row>
    <row r="122" spans="3:4" ht="15.6" x14ac:dyDescent="0.3">
      <c r="C122" s="2"/>
      <c r="D122" s="6"/>
    </row>
    <row r="123" spans="3:4" ht="15.6" x14ac:dyDescent="0.3">
      <c r="C123" s="2"/>
      <c r="D123" s="6"/>
    </row>
    <row r="124" spans="3:4" ht="15.6" x14ac:dyDescent="0.3">
      <c r="C124" s="2"/>
      <c r="D124" s="2"/>
    </row>
    <row r="125" spans="3:4" ht="15.6" x14ac:dyDescent="0.3">
      <c r="C125" s="2"/>
      <c r="D125" s="6"/>
    </row>
    <row r="126" spans="3:4" ht="15.6" x14ac:dyDescent="0.3">
      <c r="C126" s="2"/>
      <c r="D126" s="6"/>
    </row>
    <row r="127" spans="3:4" ht="15.6" x14ac:dyDescent="0.3">
      <c r="C127" s="2"/>
      <c r="D127" s="6"/>
    </row>
    <row r="128" spans="3:4" ht="15.6" x14ac:dyDescent="0.3">
      <c r="C128" s="7"/>
      <c r="D128" s="6"/>
    </row>
    <row r="129" spans="3:4" ht="15.6" x14ac:dyDescent="0.3">
      <c r="C129" s="7"/>
      <c r="D129" s="2"/>
    </row>
    <row r="130" spans="3:4" ht="15.6" x14ac:dyDescent="0.3">
      <c r="C130" s="2"/>
      <c r="D130" s="6"/>
    </row>
    <row r="131" spans="3:4" ht="15.6" x14ac:dyDescent="0.3">
      <c r="C131" s="2"/>
      <c r="D131" s="6"/>
    </row>
    <row r="132" spans="3:4" ht="15.6" x14ac:dyDescent="0.3">
      <c r="C132" s="7"/>
      <c r="D132" s="6"/>
    </row>
    <row r="133" spans="3:4" ht="15.6" x14ac:dyDescent="0.3">
      <c r="C133" s="7"/>
      <c r="D133" s="6"/>
    </row>
    <row r="134" spans="3:4" ht="15.6" x14ac:dyDescent="0.3">
      <c r="C134" s="7"/>
      <c r="D134" s="6"/>
    </row>
    <row r="135" spans="3:4" ht="15.6" x14ac:dyDescent="0.3">
      <c r="C135" s="2"/>
      <c r="D135" s="6"/>
    </row>
    <row r="136" spans="3:4" ht="15.6" x14ac:dyDescent="0.3">
      <c r="C136" s="2"/>
      <c r="D136" s="6"/>
    </row>
    <row r="137" spans="3:4" ht="15.6" x14ac:dyDescent="0.3">
      <c r="C137" s="2"/>
      <c r="D137" s="6"/>
    </row>
    <row r="138" spans="3:4" ht="15.6" x14ac:dyDescent="0.3">
      <c r="C138" s="2"/>
      <c r="D138" s="6"/>
    </row>
    <row r="139" spans="3:4" ht="15.6" x14ac:dyDescent="0.3">
      <c r="C139" s="2"/>
      <c r="D139" s="2"/>
    </row>
    <row r="140" spans="3:4" ht="15.6" x14ac:dyDescent="0.3">
      <c r="C140" s="7"/>
      <c r="D140" s="6"/>
    </row>
    <row r="141" spans="3:4" ht="15.6" x14ac:dyDescent="0.3">
      <c r="C141" s="7"/>
      <c r="D141" s="6"/>
    </row>
    <row r="142" spans="3:4" ht="15.6" x14ac:dyDescent="0.3">
      <c r="C142" s="2"/>
      <c r="D142" s="6"/>
    </row>
    <row r="143" spans="3:4" ht="15.6" x14ac:dyDescent="0.3">
      <c r="C143" s="2"/>
      <c r="D143" s="6"/>
    </row>
    <row r="144" spans="3:4" ht="15.6" x14ac:dyDescent="0.3">
      <c r="C144" s="2"/>
      <c r="D144" s="6"/>
    </row>
    <row r="145" spans="3:4" ht="15.6" x14ac:dyDescent="0.3">
      <c r="C145" s="7"/>
      <c r="D145" s="6"/>
    </row>
    <row r="146" spans="3:4" ht="15.6" x14ac:dyDescent="0.3">
      <c r="C146" s="2"/>
      <c r="D146" s="6"/>
    </row>
    <row r="147" spans="3:4" ht="15.6" x14ac:dyDescent="0.3">
      <c r="C147" s="2"/>
      <c r="D147" s="6"/>
    </row>
    <row r="148" spans="3:4" ht="15.6" x14ac:dyDescent="0.3">
      <c r="C148" s="7"/>
      <c r="D148" s="6"/>
    </row>
    <row r="149" spans="3:4" ht="15.6" x14ac:dyDescent="0.3">
      <c r="C149" s="2"/>
      <c r="D149" s="2"/>
    </row>
    <row r="150" spans="3:4" ht="15.6" x14ac:dyDescent="0.3">
      <c r="C150" s="7"/>
      <c r="D150" s="2"/>
    </row>
    <row r="151" spans="3:4" ht="15.6" x14ac:dyDescent="0.3">
      <c r="C151" s="2"/>
      <c r="D151" s="6"/>
    </row>
    <row r="152" spans="3:4" ht="15.6" x14ac:dyDescent="0.3">
      <c r="C152" s="2"/>
      <c r="D152" s="6"/>
    </row>
    <row r="153" spans="3:4" ht="15.6" x14ac:dyDescent="0.3">
      <c r="C153" s="2"/>
      <c r="D153" s="2"/>
    </row>
    <row r="154" spans="3:4" ht="15.6" x14ac:dyDescent="0.3">
      <c r="C154" s="2"/>
      <c r="D154" s="6"/>
    </row>
    <row r="155" spans="3:4" ht="15.6" x14ac:dyDescent="0.3">
      <c r="C155" s="7"/>
      <c r="D155" s="6"/>
    </row>
    <row r="156" spans="3:4" ht="15.6" x14ac:dyDescent="0.3">
      <c r="C156" s="2"/>
      <c r="D156" s="6"/>
    </row>
    <row r="157" spans="3:4" ht="15.6" x14ac:dyDescent="0.3">
      <c r="C157" s="2"/>
      <c r="D157" s="6"/>
    </row>
    <row r="158" spans="3:4" ht="15.6" x14ac:dyDescent="0.3">
      <c r="C158" s="2"/>
      <c r="D158" s="6"/>
    </row>
    <row r="159" spans="3:4" ht="15.6" x14ac:dyDescent="0.3">
      <c r="C159" s="2"/>
      <c r="D159" s="6"/>
    </row>
    <row r="160" spans="3:4" ht="15.6" x14ac:dyDescent="0.3">
      <c r="C160" s="7"/>
      <c r="D160" s="2"/>
    </row>
    <row r="161" spans="3:4" ht="15.6" x14ac:dyDescent="0.3">
      <c r="C161" s="2"/>
      <c r="D161" s="2"/>
    </row>
    <row r="162" spans="3:4" ht="15.6" x14ac:dyDescent="0.3">
      <c r="C162" s="7"/>
      <c r="D162" s="2"/>
    </row>
    <row r="163" spans="3:4" ht="15.6" x14ac:dyDescent="0.3">
      <c r="C163" s="2"/>
      <c r="D163" s="6"/>
    </row>
    <row r="164" spans="3:4" ht="15.6" x14ac:dyDescent="0.3">
      <c r="C164" s="2"/>
      <c r="D164" s="6"/>
    </row>
    <row r="165" spans="3:4" ht="15.6" x14ac:dyDescent="0.3">
      <c r="C165" s="2"/>
      <c r="D165" s="6"/>
    </row>
    <row r="166" spans="3:4" ht="15.6" x14ac:dyDescent="0.3">
      <c r="C166" s="2"/>
      <c r="D166" s="6"/>
    </row>
    <row r="167" spans="3:4" ht="15.6" x14ac:dyDescent="0.3">
      <c r="C167" s="7"/>
      <c r="D167" s="6"/>
    </row>
    <row r="168" spans="3:4" ht="15.6" x14ac:dyDescent="0.3">
      <c r="C168" s="2"/>
      <c r="D168" s="6"/>
    </row>
    <row r="169" spans="3:4" ht="15.6" x14ac:dyDescent="0.3">
      <c r="C169" s="2"/>
      <c r="D169" s="2"/>
    </row>
    <row r="170" spans="3:4" ht="15.6" x14ac:dyDescent="0.3">
      <c r="C170" s="2"/>
      <c r="D170" s="6"/>
    </row>
    <row r="171" spans="3:4" ht="15.6" x14ac:dyDescent="0.3">
      <c r="C171" s="7"/>
      <c r="D171" s="6"/>
    </row>
    <row r="172" spans="3:4" ht="15.6" x14ac:dyDescent="0.3">
      <c r="C172" s="2"/>
      <c r="D172" s="6"/>
    </row>
    <row r="173" spans="3:4" ht="15.6" x14ac:dyDescent="0.3">
      <c r="C173" s="2"/>
      <c r="D173" s="6"/>
    </row>
    <row r="174" spans="3:4" ht="15.6" x14ac:dyDescent="0.3">
      <c r="C174" s="2"/>
      <c r="D174" s="6"/>
    </row>
    <row r="175" spans="3:4" ht="15.6" x14ac:dyDescent="0.3">
      <c r="C175" s="7"/>
      <c r="D175" s="6"/>
    </row>
    <row r="176" spans="3:4" ht="15.6" x14ac:dyDescent="0.3">
      <c r="C176" s="7"/>
      <c r="D176" s="2"/>
    </row>
    <row r="177" spans="3:4" ht="15.6" x14ac:dyDescent="0.3">
      <c r="C177" s="2"/>
      <c r="D177" s="6"/>
    </row>
    <row r="178" spans="3:4" ht="15.6" x14ac:dyDescent="0.3">
      <c r="C178" s="2"/>
      <c r="D178" s="6"/>
    </row>
    <row r="179" spans="3:4" ht="15.6" x14ac:dyDescent="0.3">
      <c r="C179" s="7"/>
      <c r="D179" s="6"/>
    </row>
    <row r="180" spans="3:4" ht="15.6" x14ac:dyDescent="0.3">
      <c r="C180" s="2"/>
      <c r="D180" s="2"/>
    </row>
    <row r="181" spans="3:4" ht="15.6" x14ac:dyDescent="0.3">
      <c r="C181" s="7"/>
      <c r="D181" s="6"/>
    </row>
    <row r="182" spans="3:4" ht="15.6" x14ac:dyDescent="0.3">
      <c r="C182" s="2"/>
      <c r="D182" s="6"/>
    </row>
    <row r="183" spans="3:4" ht="15.6" x14ac:dyDescent="0.3">
      <c r="C183" s="2"/>
      <c r="D183" s="6"/>
    </row>
    <row r="184" spans="3:4" ht="15.6" x14ac:dyDescent="0.3">
      <c r="C184" s="2"/>
      <c r="D184" s="6"/>
    </row>
    <row r="185" spans="3:4" ht="15.6" x14ac:dyDescent="0.3">
      <c r="C185" s="2"/>
      <c r="D185" s="6"/>
    </row>
    <row r="186" spans="3:4" ht="15.6" x14ac:dyDescent="0.3">
      <c r="C186" s="2"/>
      <c r="D186" s="6"/>
    </row>
    <row r="187" spans="3:4" ht="15.6" x14ac:dyDescent="0.3">
      <c r="C187" s="2"/>
      <c r="D187" s="6"/>
    </row>
    <row r="188" spans="3:4" ht="15.6" x14ac:dyDescent="0.3">
      <c r="C188" s="2"/>
      <c r="D188" s="6"/>
    </row>
    <row r="189" spans="3:4" ht="15.6" x14ac:dyDescent="0.3">
      <c r="C189" s="2"/>
      <c r="D189" s="2"/>
    </row>
    <row r="190" spans="3:4" ht="15.6" x14ac:dyDescent="0.3">
      <c r="C190" s="7"/>
      <c r="D190" s="6"/>
    </row>
    <row r="191" spans="3:4" ht="15.6" x14ac:dyDescent="0.3">
      <c r="C191" s="2"/>
      <c r="D191" s="6"/>
    </row>
    <row r="192" spans="3:4" ht="15.6" x14ac:dyDescent="0.3">
      <c r="C192" s="2"/>
      <c r="D192" s="6"/>
    </row>
    <row r="193" spans="3:4" ht="15.6" x14ac:dyDescent="0.3">
      <c r="C193" s="2"/>
      <c r="D193" s="6"/>
    </row>
    <row r="194" spans="3:4" ht="15.6" x14ac:dyDescent="0.3">
      <c r="C194" s="7"/>
      <c r="D194" s="6"/>
    </row>
    <row r="195" spans="3:4" ht="15.6" x14ac:dyDescent="0.3">
      <c r="C195" s="7"/>
      <c r="D195" s="6"/>
    </row>
    <row r="196" spans="3:4" ht="15.6" x14ac:dyDescent="0.3">
      <c r="C196" s="2"/>
      <c r="D196" s="6"/>
    </row>
    <row r="197" spans="3:4" ht="15.6" x14ac:dyDescent="0.3">
      <c r="C197" s="7"/>
      <c r="D197" s="6"/>
    </row>
    <row r="198" spans="3:4" ht="15.6" x14ac:dyDescent="0.3">
      <c r="C198" s="2"/>
      <c r="D198" s="2"/>
    </row>
    <row r="199" spans="3:4" ht="15.6" x14ac:dyDescent="0.3">
      <c r="C199" s="2"/>
      <c r="D199" s="2"/>
    </row>
    <row r="200" spans="3:4" ht="15.6" x14ac:dyDescent="0.3">
      <c r="C200" s="2"/>
      <c r="D200" s="6"/>
    </row>
    <row r="201" spans="3:4" ht="15.6" x14ac:dyDescent="0.3">
      <c r="C201" s="7"/>
      <c r="D201" s="6"/>
    </row>
    <row r="202" spans="3:4" ht="15.6" x14ac:dyDescent="0.3">
      <c r="C202" s="2"/>
      <c r="D202" s="6"/>
    </row>
    <row r="203" spans="3:4" ht="15.6" x14ac:dyDescent="0.3">
      <c r="C203" s="2"/>
      <c r="D203" s="6"/>
    </row>
    <row r="204" spans="3:4" ht="15.6" x14ac:dyDescent="0.3">
      <c r="C204" s="2"/>
      <c r="D204" s="6"/>
    </row>
    <row r="205" spans="3:4" ht="15.6" x14ac:dyDescent="0.3">
      <c r="C205" s="2"/>
      <c r="D205" s="6"/>
    </row>
    <row r="206" spans="3:4" ht="15.6" x14ac:dyDescent="0.3">
      <c r="C206" s="2"/>
      <c r="D206" s="6"/>
    </row>
    <row r="207" spans="3:4" ht="15.6" x14ac:dyDescent="0.3">
      <c r="D207" s="6"/>
    </row>
    <row r="208" spans="3:4" ht="15.6" x14ac:dyDescent="0.3">
      <c r="D208" s="6">
        <v>60</v>
      </c>
    </row>
  </sheetData>
  <mergeCells count="37">
    <mergeCell ref="AF38:AG38"/>
    <mergeCell ref="AF39:AG39"/>
    <mergeCell ref="AF40:AG40"/>
    <mergeCell ref="AF41:AG41"/>
    <mergeCell ref="AE37:AG37"/>
    <mergeCell ref="AF32:AG32"/>
    <mergeCell ref="AF33:AG33"/>
    <mergeCell ref="AF34:AG34"/>
    <mergeCell ref="AF35:AG35"/>
    <mergeCell ref="AE31:AG31"/>
    <mergeCell ref="A11:B11"/>
    <mergeCell ref="A1:B1"/>
    <mergeCell ref="D1:F1"/>
    <mergeCell ref="I1:L1"/>
    <mergeCell ref="N1:R1"/>
    <mergeCell ref="A21:B21"/>
    <mergeCell ref="T20:V20"/>
    <mergeCell ref="T28:V28"/>
    <mergeCell ref="I18:K18"/>
    <mergeCell ref="I24:K24"/>
    <mergeCell ref="AO19:AR19"/>
    <mergeCell ref="I30:L30"/>
    <mergeCell ref="AF20:AG20"/>
    <mergeCell ref="AF21:AG21"/>
    <mergeCell ref="AF22:AG22"/>
    <mergeCell ref="AF23:AG23"/>
    <mergeCell ref="AE19:AG19"/>
    <mergeCell ref="AF26:AG26"/>
    <mergeCell ref="AF27:AG27"/>
    <mergeCell ref="AF28:AG28"/>
    <mergeCell ref="AF29:AG29"/>
    <mergeCell ref="AE25:AG25"/>
    <mergeCell ref="Z1:AC1"/>
    <mergeCell ref="AE1:AH1"/>
    <mergeCell ref="AJ1:AM1"/>
    <mergeCell ref="AO1:AR1"/>
    <mergeCell ref="T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D8A3-1CF2-4836-A2D1-334F420DDE6B}">
  <dimension ref="A1"/>
  <sheetViews>
    <sheetView zoomScale="34" zoomScaleNormal="69" workbookViewId="0">
      <selection activeCell="AN35" sqref="AN35"/>
    </sheetView>
  </sheetViews>
  <sheetFormatPr defaultRowHeight="14.4" x14ac:dyDescent="0.3"/>
  <cols>
    <col min="1" max="1" width="16.44140625" customWidth="1"/>
    <col min="2" max="2" width="20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Sample_Raw_Dataset</vt:lpstr>
      <vt:lpstr>Price_List</vt:lpstr>
      <vt:lpstr>Sample_Cleaned_Dataset</vt:lpstr>
      <vt:lpstr>Business_Statistics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Evangeline Christina</dc:creator>
  <cp:lastModifiedBy>Evangeline Christina</cp:lastModifiedBy>
  <dcterms:created xsi:type="dcterms:W3CDTF">2026-03-16T16:22:25Z</dcterms:created>
  <dcterms:modified xsi:type="dcterms:W3CDTF">2026-03-17T10:13:58Z</dcterms:modified>
</cp:coreProperties>
</file>