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d814006c8dbc9/Documents/IIT madras/"/>
    </mc:Choice>
  </mc:AlternateContent>
  <xr:revisionPtr revIDLastSave="5" documentId="8_{28202FC2-A083-4854-9D52-0820B0CA75A5}" xr6:coauthVersionLast="47" xr6:coauthVersionMax="47" xr10:uidLastSave="{8FFD7842-2A8C-471A-81AF-8EA159146833}"/>
  <bookViews>
    <workbookView xWindow="-108" yWindow="-108" windowWidth="23256" windowHeight="12456" activeTab="3" xr2:uid="{4F2F0D55-9146-4438-9721-FF8B276648A0}"/>
  </bookViews>
  <sheets>
    <sheet name="Raw Data" sheetId="1" r:id="rId1"/>
    <sheet name="Price_List" sheetId="6" r:id="rId2"/>
    <sheet name="Cleaned_Data" sheetId="8" r:id="rId3"/>
    <sheet name="Business_Statistics" sheetId="9" r:id="rId4"/>
    <sheet name="chart data" sheetId="17" r:id="rId5"/>
  </sheets>
  <definedNames>
    <definedName name="_xlnm._FilterDatabase" localSheetId="3" hidden="1">Business_Statistics!$AJ$2:$AM$2</definedName>
    <definedName name="_xlnm._FilterDatabase" localSheetId="2" hidden="1">Cleaned_Data!$A$1:$K$611</definedName>
    <definedName name="_xlnm._FilterDatabase" localSheetId="0" hidden="1">'Raw Data'!$A$1:$E$582</definedName>
    <definedName name="_xlnm.Extract" localSheetId="2">Price_List!$D$4</definedName>
    <definedName name="_xlnm.Extract" localSheetId="0">'Raw Data'!$I$1</definedName>
  </definedName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2" i="9" l="1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3" i="9"/>
  <c r="X3" i="9"/>
  <c r="AM46" i="9"/>
  <c r="AL46" i="9"/>
  <c r="AK46" i="9"/>
  <c r="AH17" i="9"/>
  <c r="AG17" i="9"/>
  <c r="AF17" i="9"/>
  <c r="AC46" i="9"/>
  <c r="AB46" i="9"/>
  <c r="AA46" i="9"/>
  <c r="O46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3" i="9"/>
  <c r="K170" i="8"/>
  <c r="K184" i="8"/>
  <c r="K185" i="8"/>
  <c r="K232" i="8"/>
  <c r="K233" i="8"/>
  <c r="K234" i="8"/>
  <c r="K396" i="8"/>
  <c r="K408" i="8"/>
  <c r="K410" i="8"/>
  <c r="K411" i="8"/>
  <c r="K424" i="8"/>
  <c r="K425" i="8"/>
  <c r="K459" i="8"/>
  <c r="K504" i="8"/>
  <c r="K552" i="8"/>
  <c r="K554" i="8"/>
  <c r="K555" i="8"/>
  <c r="K568" i="8"/>
  <c r="K588" i="8"/>
  <c r="K600" i="8"/>
  <c r="J16" i="8"/>
  <c r="J110" i="8"/>
  <c r="J124" i="8"/>
  <c r="J170" i="8"/>
  <c r="J182" i="8"/>
  <c r="J242" i="8"/>
  <c r="J254" i="8"/>
  <c r="J256" i="8"/>
  <c r="J268" i="8"/>
  <c r="J287" i="8"/>
  <c r="J569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J357" i="8" s="1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J372" i="8" s="1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H358" i="8"/>
  <c r="K358" i="8" s="1"/>
  <c r="H359" i="8"/>
  <c r="K359" i="8" s="1"/>
  <c r="H360" i="8"/>
  <c r="H361" i="8"/>
  <c r="J361" i="8" s="1"/>
  <c r="H362" i="8"/>
  <c r="J362" i="8" s="1"/>
  <c r="H363" i="8"/>
  <c r="J363" i="8" s="1"/>
  <c r="H364" i="8"/>
  <c r="J364" i="8" s="1"/>
  <c r="H365" i="8"/>
  <c r="H366" i="8"/>
  <c r="H367" i="8"/>
  <c r="H368" i="8"/>
  <c r="K368" i="8" s="1"/>
  <c r="H369" i="8"/>
  <c r="K369" i="8" s="1"/>
  <c r="H370" i="8"/>
  <c r="K370" i="8" s="1"/>
  <c r="H371" i="8"/>
  <c r="K371" i="8" s="1"/>
  <c r="H372" i="8"/>
  <c r="K372" i="8" s="1"/>
  <c r="H373" i="8"/>
  <c r="K373" i="8" s="1"/>
  <c r="H374" i="8"/>
  <c r="K374" i="8" s="1"/>
  <c r="H375" i="8"/>
  <c r="K375" i="8" s="1"/>
  <c r="H376" i="8"/>
  <c r="J376" i="8" s="1"/>
  <c r="H377" i="8"/>
  <c r="J377" i="8" s="1"/>
  <c r="H378" i="8"/>
  <c r="J378" i="8" s="1"/>
  <c r="H379" i="8"/>
  <c r="H380" i="8"/>
  <c r="J380" i="8" s="1"/>
  <c r="H381" i="8"/>
  <c r="K381" i="8" s="1"/>
  <c r="H382" i="8"/>
  <c r="K382" i="8" s="1"/>
  <c r="H383" i="8"/>
  <c r="H384" i="8"/>
  <c r="K384" i="8" s="1"/>
  <c r="H385" i="8"/>
  <c r="K385" i="8" s="1"/>
  <c r="H386" i="8"/>
  <c r="K386" i="8" s="1"/>
  <c r="H387" i="8"/>
  <c r="K387" i="8" s="1"/>
  <c r="H388" i="8"/>
  <c r="K388" i="8" s="1"/>
  <c r="H389" i="8"/>
  <c r="H390" i="8"/>
  <c r="H391" i="8"/>
  <c r="H392" i="8"/>
  <c r="J392" i="8" s="1"/>
  <c r="H393" i="8"/>
  <c r="K393" i="8" s="1"/>
  <c r="H394" i="8"/>
  <c r="K394" i="8" s="1"/>
  <c r="H395" i="8"/>
  <c r="J395" i="8" s="1"/>
  <c r="H396" i="8"/>
  <c r="H397" i="8"/>
  <c r="J397" i="8" s="1"/>
  <c r="H398" i="8"/>
  <c r="K398" i="8" s="1"/>
  <c r="H399" i="8"/>
  <c r="K399" i="8" s="1"/>
  <c r="H400" i="8"/>
  <c r="K400" i="8" s="1"/>
  <c r="H401" i="8"/>
  <c r="H402" i="8"/>
  <c r="H403" i="8"/>
  <c r="K403" i="8" s="1"/>
  <c r="H404" i="8"/>
  <c r="K404" i="8" s="1"/>
  <c r="H405" i="8"/>
  <c r="K405" i="8" s="1"/>
  <c r="H406" i="8"/>
  <c r="K406" i="8" s="1"/>
  <c r="H407" i="8"/>
  <c r="H408" i="8"/>
  <c r="H409" i="8"/>
  <c r="H410" i="8"/>
  <c r="J410" i="8" s="1"/>
  <c r="H411" i="8"/>
  <c r="J411" i="8" s="1"/>
  <c r="H412" i="8"/>
  <c r="J412" i="8" s="1"/>
  <c r="H413" i="8"/>
  <c r="K413" i="8" s="1"/>
  <c r="H414" i="8"/>
  <c r="K414" i="8" s="1"/>
  <c r="H415" i="8"/>
  <c r="K415" i="8" s="1"/>
  <c r="H416" i="8"/>
  <c r="K416" i="8" s="1"/>
  <c r="H417" i="8"/>
  <c r="K417" i="8" s="1"/>
  <c r="H418" i="8"/>
  <c r="K418" i="8" s="1"/>
  <c r="H419" i="8"/>
  <c r="H420" i="8"/>
  <c r="H421" i="8"/>
  <c r="H422" i="8"/>
  <c r="J422" i="8" s="1"/>
  <c r="H423" i="8"/>
  <c r="J423" i="8" s="1"/>
  <c r="H424" i="8"/>
  <c r="J424" i="8" s="1"/>
  <c r="H425" i="8"/>
  <c r="J425" i="8" s="1"/>
  <c r="H426" i="8"/>
  <c r="J426" i="8" s="1"/>
  <c r="H427" i="8"/>
  <c r="K427" i="8" s="1"/>
  <c r="H428" i="8"/>
  <c r="K428" i="8" s="1"/>
  <c r="H429" i="8"/>
  <c r="K429" i="8" s="1"/>
  <c r="H430" i="8"/>
  <c r="K430" i="8" s="1"/>
  <c r="H431" i="8"/>
  <c r="H432" i="8"/>
  <c r="K432" i="8" s="1"/>
  <c r="H433" i="8"/>
  <c r="H434" i="8"/>
  <c r="K434" i="8" s="1"/>
  <c r="H435" i="8"/>
  <c r="K435" i="8" s="1"/>
  <c r="H436" i="8"/>
  <c r="K436" i="8" s="1"/>
  <c r="H437" i="8"/>
  <c r="K437" i="8" s="1"/>
  <c r="H438" i="8"/>
  <c r="K438" i="8" s="1"/>
  <c r="H439" i="8"/>
  <c r="K439" i="8" s="1"/>
  <c r="H440" i="8"/>
  <c r="J440" i="8" s="1"/>
  <c r="H441" i="8"/>
  <c r="K441" i="8" s="1"/>
  <c r="H442" i="8"/>
  <c r="K442" i="8" s="1"/>
  <c r="H443" i="8"/>
  <c r="H444" i="8"/>
  <c r="K444" i="8" s="1"/>
  <c r="H445" i="8"/>
  <c r="H446" i="8"/>
  <c r="J446" i="8" s="1"/>
  <c r="H447" i="8"/>
  <c r="K447" i="8" s="1"/>
  <c r="H448" i="8"/>
  <c r="K448" i="8" s="1"/>
  <c r="H449" i="8"/>
  <c r="K449" i="8" s="1"/>
  <c r="H450" i="8"/>
  <c r="K450" i="8" s="1"/>
  <c r="H451" i="8"/>
  <c r="K451" i="8" s="1"/>
  <c r="H452" i="8"/>
  <c r="K452" i="8" s="1"/>
  <c r="H453" i="8"/>
  <c r="K453" i="8" s="1"/>
  <c r="H454" i="8"/>
  <c r="K454" i="8" s="1"/>
  <c r="H455" i="8"/>
  <c r="H456" i="8"/>
  <c r="K456" i="8" s="1"/>
  <c r="H457" i="8"/>
  <c r="H458" i="8"/>
  <c r="J458" i="8" s="1"/>
  <c r="H459" i="8"/>
  <c r="J459" i="8" s="1"/>
  <c r="H460" i="8"/>
  <c r="J460" i="8" s="1"/>
  <c r="H461" i="8"/>
  <c r="K461" i="8" s="1"/>
  <c r="H462" i="8"/>
  <c r="K462" i="8" s="1"/>
  <c r="H463" i="8"/>
  <c r="K463" i="8" s="1"/>
  <c r="H464" i="8"/>
  <c r="K464" i="8" s="1"/>
  <c r="H465" i="8"/>
  <c r="K465" i="8" s="1"/>
  <c r="H466" i="8"/>
  <c r="K466" i="8" s="1"/>
  <c r="H467" i="8"/>
  <c r="H468" i="8"/>
  <c r="H469" i="8"/>
  <c r="H470" i="8"/>
  <c r="J470" i="8" s="1"/>
  <c r="H471" i="8"/>
  <c r="J471" i="8" s="1"/>
  <c r="H472" i="8"/>
  <c r="J472" i="8" s="1"/>
  <c r="H473" i="8"/>
  <c r="J473" i="8" s="1"/>
  <c r="H474" i="8"/>
  <c r="J474" i="8" s="1"/>
  <c r="H475" i="8"/>
  <c r="K475" i="8" s="1"/>
  <c r="H476" i="8"/>
  <c r="K476" i="8" s="1"/>
  <c r="H477" i="8"/>
  <c r="K477" i="8" s="1"/>
  <c r="H478" i="8"/>
  <c r="K478" i="8" s="1"/>
  <c r="H479" i="8"/>
  <c r="H480" i="8"/>
  <c r="K480" i="8" s="1"/>
  <c r="H481" i="8"/>
  <c r="H482" i="8"/>
  <c r="K482" i="8" s="1"/>
  <c r="H483" i="8"/>
  <c r="K483" i="8" s="1"/>
  <c r="H484" i="8"/>
  <c r="K484" i="8" s="1"/>
  <c r="H485" i="8"/>
  <c r="K485" i="8" s="1"/>
  <c r="H486" i="8"/>
  <c r="K486" i="8" s="1"/>
  <c r="H487" i="8"/>
  <c r="K487" i="8" s="1"/>
  <c r="H488" i="8"/>
  <c r="J488" i="8" s="1"/>
  <c r="H489" i="8"/>
  <c r="K489" i="8" s="1"/>
  <c r="H490" i="8"/>
  <c r="K490" i="8" s="1"/>
  <c r="H491" i="8"/>
  <c r="J491" i="8" s="1"/>
  <c r="H492" i="8"/>
  <c r="K492" i="8" s="1"/>
  <c r="H493" i="8"/>
  <c r="H494" i="8"/>
  <c r="J494" i="8" s="1"/>
  <c r="H495" i="8"/>
  <c r="K495" i="8" s="1"/>
  <c r="H496" i="8"/>
  <c r="K496" i="8" s="1"/>
  <c r="H497" i="8"/>
  <c r="K497" i="8" s="1"/>
  <c r="H498" i="8"/>
  <c r="K498" i="8" s="1"/>
  <c r="H499" i="8"/>
  <c r="K499" i="8" s="1"/>
  <c r="H500" i="8"/>
  <c r="K500" i="8" s="1"/>
  <c r="H501" i="8"/>
  <c r="K501" i="8" s="1"/>
  <c r="H502" i="8"/>
  <c r="K502" i="8" s="1"/>
  <c r="H503" i="8"/>
  <c r="H504" i="8"/>
  <c r="J504" i="8" s="1"/>
  <c r="H505" i="8"/>
  <c r="H506" i="8"/>
  <c r="J506" i="8" s="1"/>
  <c r="H507" i="8"/>
  <c r="J507" i="8" s="1"/>
  <c r="H508" i="8"/>
  <c r="J508" i="8" s="1"/>
  <c r="H509" i="8"/>
  <c r="K509" i="8" s="1"/>
  <c r="H510" i="8"/>
  <c r="K510" i="8" s="1"/>
  <c r="H511" i="8"/>
  <c r="K511" i="8" s="1"/>
  <c r="H512" i="8"/>
  <c r="K512" i="8" s="1"/>
  <c r="H513" i="8"/>
  <c r="K513" i="8" s="1"/>
  <c r="H514" i="8"/>
  <c r="K514" i="8" s="1"/>
  <c r="H515" i="8"/>
  <c r="H516" i="8"/>
  <c r="H517" i="8"/>
  <c r="H518" i="8"/>
  <c r="J518" i="8" s="1"/>
  <c r="H519" i="8"/>
  <c r="J519" i="8" s="1"/>
  <c r="H520" i="8"/>
  <c r="J520" i="8" s="1"/>
  <c r="H521" i="8"/>
  <c r="K521" i="8" s="1"/>
  <c r="H522" i="8"/>
  <c r="J522" i="8" s="1"/>
  <c r="H523" i="8"/>
  <c r="K523" i="8" s="1"/>
  <c r="H524" i="8"/>
  <c r="K524" i="8" s="1"/>
  <c r="H525" i="8"/>
  <c r="K525" i="8" s="1"/>
  <c r="H526" i="8"/>
  <c r="K526" i="8" s="1"/>
  <c r="H527" i="8"/>
  <c r="H528" i="8"/>
  <c r="K528" i="8" s="1"/>
  <c r="H529" i="8"/>
  <c r="H530" i="8"/>
  <c r="K530" i="8" s="1"/>
  <c r="H531" i="8"/>
  <c r="K531" i="8" s="1"/>
  <c r="H532" i="8"/>
  <c r="K532" i="8" s="1"/>
  <c r="H533" i="8"/>
  <c r="K533" i="8" s="1"/>
  <c r="H534" i="8"/>
  <c r="K534" i="8" s="1"/>
  <c r="H535" i="8"/>
  <c r="K535" i="8" s="1"/>
  <c r="H536" i="8"/>
  <c r="J536" i="8" s="1"/>
  <c r="H537" i="8"/>
  <c r="K537" i="8" s="1"/>
  <c r="H538" i="8"/>
  <c r="K538" i="8" s="1"/>
  <c r="H539" i="8"/>
  <c r="H540" i="8"/>
  <c r="K540" i="8" s="1"/>
  <c r="H541" i="8"/>
  <c r="H542" i="8"/>
  <c r="J542" i="8" s="1"/>
  <c r="H543" i="8"/>
  <c r="K543" i="8" s="1"/>
  <c r="H544" i="8"/>
  <c r="K544" i="8" s="1"/>
  <c r="H545" i="8"/>
  <c r="K545" i="8" s="1"/>
  <c r="H546" i="8"/>
  <c r="K546" i="8" s="1"/>
  <c r="H547" i="8"/>
  <c r="K547" i="8" s="1"/>
  <c r="H548" i="8"/>
  <c r="K548" i="8" s="1"/>
  <c r="H549" i="8"/>
  <c r="K549" i="8" s="1"/>
  <c r="H550" i="8"/>
  <c r="K550" i="8" s="1"/>
  <c r="H551" i="8"/>
  <c r="H552" i="8"/>
  <c r="H553" i="8"/>
  <c r="H554" i="8"/>
  <c r="J554" i="8" s="1"/>
  <c r="H555" i="8"/>
  <c r="J555" i="8" s="1"/>
  <c r="H556" i="8"/>
  <c r="J556" i="8" s="1"/>
  <c r="H557" i="8"/>
  <c r="K557" i="8" s="1"/>
  <c r="H558" i="8"/>
  <c r="K558" i="8" s="1"/>
  <c r="H559" i="8"/>
  <c r="K559" i="8" s="1"/>
  <c r="H560" i="8"/>
  <c r="K560" i="8" s="1"/>
  <c r="H561" i="8"/>
  <c r="K561" i="8" s="1"/>
  <c r="H562" i="8"/>
  <c r="K562" i="8" s="1"/>
  <c r="H563" i="8"/>
  <c r="H564" i="8"/>
  <c r="H565" i="8"/>
  <c r="H566" i="8"/>
  <c r="J566" i="8" s="1"/>
  <c r="H567" i="8"/>
  <c r="J567" i="8" s="1"/>
  <c r="H568" i="8"/>
  <c r="J568" i="8" s="1"/>
  <c r="H569" i="8"/>
  <c r="K569" i="8" s="1"/>
  <c r="H570" i="8"/>
  <c r="J570" i="8" s="1"/>
  <c r="H571" i="8"/>
  <c r="K571" i="8" s="1"/>
  <c r="H572" i="8"/>
  <c r="K572" i="8" s="1"/>
  <c r="H573" i="8"/>
  <c r="K573" i="8" s="1"/>
  <c r="H574" i="8"/>
  <c r="K574" i="8" s="1"/>
  <c r="H575" i="8"/>
  <c r="H576" i="8"/>
  <c r="K576" i="8" s="1"/>
  <c r="H577" i="8"/>
  <c r="H578" i="8"/>
  <c r="K578" i="8" s="1"/>
  <c r="H579" i="8"/>
  <c r="K579" i="8" s="1"/>
  <c r="H580" i="8"/>
  <c r="K580" i="8" s="1"/>
  <c r="H581" i="8"/>
  <c r="K581" i="8" s="1"/>
  <c r="H582" i="8"/>
  <c r="K582" i="8" s="1"/>
  <c r="H583" i="8"/>
  <c r="K583" i="8" s="1"/>
  <c r="H584" i="8"/>
  <c r="J584" i="8" s="1"/>
  <c r="H585" i="8"/>
  <c r="K585" i="8" s="1"/>
  <c r="H586" i="8"/>
  <c r="K586" i="8" s="1"/>
  <c r="H587" i="8"/>
  <c r="H588" i="8"/>
  <c r="H589" i="8"/>
  <c r="H590" i="8"/>
  <c r="J590" i="8" s="1"/>
  <c r="H591" i="8"/>
  <c r="K591" i="8" s="1"/>
  <c r="H592" i="8"/>
  <c r="K592" i="8" s="1"/>
  <c r="H593" i="8"/>
  <c r="K593" i="8" s="1"/>
  <c r="H594" i="8"/>
  <c r="K594" i="8" s="1"/>
  <c r="H595" i="8"/>
  <c r="K595" i="8" s="1"/>
  <c r="H596" i="8"/>
  <c r="K596" i="8" s="1"/>
  <c r="H597" i="8"/>
  <c r="K597" i="8" s="1"/>
  <c r="H598" i="8"/>
  <c r="K598" i="8" s="1"/>
  <c r="H599" i="8"/>
  <c r="H600" i="8"/>
  <c r="H601" i="8"/>
  <c r="H602" i="8"/>
  <c r="J602" i="8" s="1"/>
  <c r="H603" i="8"/>
  <c r="J603" i="8" s="1"/>
  <c r="H604" i="8"/>
  <c r="J604" i="8" s="1"/>
  <c r="H605" i="8"/>
  <c r="K605" i="8" s="1"/>
  <c r="H606" i="8"/>
  <c r="K606" i="8" s="1"/>
  <c r="H607" i="8"/>
  <c r="K607" i="8" s="1"/>
  <c r="H608" i="8"/>
  <c r="K608" i="8" s="1"/>
  <c r="H609" i="8"/>
  <c r="K609" i="8" s="1"/>
  <c r="H610" i="8"/>
  <c r="K610" i="8" s="1"/>
  <c r="H611" i="8"/>
  <c r="H357" i="8"/>
  <c r="K357" i="8" s="1"/>
  <c r="H3" i="8"/>
  <c r="H4" i="8"/>
  <c r="K4" i="8" s="1"/>
  <c r="H5" i="8"/>
  <c r="J5" i="8" s="1"/>
  <c r="H6" i="8"/>
  <c r="J6" i="8" s="1"/>
  <c r="H7" i="8"/>
  <c r="H8" i="8"/>
  <c r="J8" i="8" s="1"/>
  <c r="H9" i="8"/>
  <c r="H10" i="8"/>
  <c r="K10" i="8" s="1"/>
  <c r="H11" i="8"/>
  <c r="K11" i="8" s="1"/>
  <c r="H12" i="8"/>
  <c r="K12" i="8" s="1"/>
  <c r="H13" i="8"/>
  <c r="H14" i="8"/>
  <c r="K14" i="8" s="1"/>
  <c r="H15" i="8"/>
  <c r="H16" i="8"/>
  <c r="K16" i="8" s="1"/>
  <c r="H17" i="8"/>
  <c r="H18" i="8"/>
  <c r="H19" i="8"/>
  <c r="K19" i="8" s="1"/>
  <c r="H20" i="8"/>
  <c r="K20" i="8" s="1"/>
  <c r="H21" i="8"/>
  <c r="H22" i="8"/>
  <c r="K22" i="8" s="1"/>
  <c r="H23" i="8"/>
  <c r="J23" i="8" s="1"/>
  <c r="H24" i="8"/>
  <c r="J24" i="8" s="1"/>
  <c r="H25" i="8"/>
  <c r="H26" i="8"/>
  <c r="K26" i="8" s="1"/>
  <c r="H27" i="8"/>
  <c r="J27" i="8" s="1"/>
  <c r="H28" i="8"/>
  <c r="J28" i="8" s="1"/>
  <c r="H29" i="8"/>
  <c r="J29" i="8" s="1"/>
  <c r="H30" i="8"/>
  <c r="J30" i="8" s="1"/>
  <c r="H31" i="8"/>
  <c r="H32" i="8"/>
  <c r="H33" i="8"/>
  <c r="H34" i="8"/>
  <c r="K34" i="8" s="1"/>
  <c r="H35" i="8"/>
  <c r="K35" i="8" s="1"/>
  <c r="H36" i="8"/>
  <c r="K36" i="8" s="1"/>
  <c r="H37" i="8"/>
  <c r="H38" i="8"/>
  <c r="K38" i="8" s="1"/>
  <c r="H39" i="8"/>
  <c r="H40" i="8"/>
  <c r="J40" i="8" s="1"/>
  <c r="H41" i="8"/>
  <c r="J41" i="8" s="1"/>
  <c r="H42" i="8"/>
  <c r="J42" i="8" s="1"/>
  <c r="H43" i="8"/>
  <c r="H44" i="8"/>
  <c r="H45" i="8"/>
  <c r="H46" i="8"/>
  <c r="K46" i="8" s="1"/>
  <c r="H47" i="8"/>
  <c r="J47" i="8" s="1"/>
  <c r="H48" i="8"/>
  <c r="K48" i="8" s="1"/>
  <c r="H49" i="8"/>
  <c r="K49" i="8" s="1"/>
  <c r="H50" i="8"/>
  <c r="K50" i="8" s="1"/>
  <c r="H51" i="8"/>
  <c r="H52" i="8"/>
  <c r="K52" i="8" s="1"/>
  <c r="H53" i="8"/>
  <c r="J53" i="8" s="1"/>
  <c r="H54" i="8"/>
  <c r="J54" i="8" s="1"/>
  <c r="H55" i="8"/>
  <c r="H56" i="8"/>
  <c r="H57" i="8"/>
  <c r="H58" i="8"/>
  <c r="K58" i="8" s="1"/>
  <c r="H59" i="8"/>
  <c r="K59" i="8" s="1"/>
  <c r="H60" i="8"/>
  <c r="K60" i="8" s="1"/>
  <c r="H61" i="8"/>
  <c r="H62" i="8"/>
  <c r="K62" i="8" s="1"/>
  <c r="H63" i="8"/>
  <c r="H64" i="8"/>
  <c r="K64" i="8" s="1"/>
  <c r="H65" i="8"/>
  <c r="J65" i="8" s="1"/>
  <c r="H66" i="8"/>
  <c r="J66" i="8" s="1"/>
  <c r="H67" i="8"/>
  <c r="K67" i="8" s="1"/>
  <c r="H68" i="8"/>
  <c r="K68" i="8" s="1"/>
  <c r="H69" i="8"/>
  <c r="H70" i="8"/>
  <c r="K70" i="8" s="1"/>
  <c r="H71" i="8"/>
  <c r="J71" i="8" s="1"/>
  <c r="H72" i="8"/>
  <c r="K72" i="8" s="1"/>
  <c r="H73" i="8"/>
  <c r="H74" i="8"/>
  <c r="K74" i="8" s="1"/>
  <c r="H75" i="8"/>
  <c r="H76" i="8"/>
  <c r="K76" i="8" s="1"/>
  <c r="H77" i="8"/>
  <c r="J77" i="8" s="1"/>
  <c r="H78" i="8"/>
  <c r="J78" i="8" s="1"/>
  <c r="H79" i="8"/>
  <c r="H80" i="8"/>
  <c r="H81" i="8"/>
  <c r="H82" i="8"/>
  <c r="K82" i="8" s="1"/>
  <c r="H83" i="8"/>
  <c r="K83" i="8" s="1"/>
  <c r="H84" i="8"/>
  <c r="J84" i="8" s="1"/>
  <c r="H85" i="8"/>
  <c r="J85" i="8" s="1"/>
  <c r="H86" i="8"/>
  <c r="J86" i="8" s="1"/>
  <c r="H87" i="8"/>
  <c r="H88" i="8"/>
  <c r="K88" i="8" s="1"/>
  <c r="H89" i="8"/>
  <c r="J89" i="8" s="1"/>
  <c r="H90" i="8"/>
  <c r="J90" i="8" s="1"/>
  <c r="H91" i="8"/>
  <c r="H92" i="8"/>
  <c r="H93" i="8"/>
  <c r="H94" i="8"/>
  <c r="K94" i="8" s="1"/>
  <c r="H95" i="8"/>
  <c r="K95" i="8" s="1"/>
  <c r="H96" i="8"/>
  <c r="K96" i="8" s="1"/>
  <c r="H97" i="8"/>
  <c r="K97" i="8" s="1"/>
  <c r="H98" i="8"/>
  <c r="K98" i="8" s="1"/>
  <c r="H99" i="8"/>
  <c r="H100" i="8"/>
  <c r="J100" i="8" s="1"/>
  <c r="H101" i="8"/>
  <c r="J101" i="8" s="1"/>
  <c r="H102" i="8"/>
  <c r="J102" i="8" s="1"/>
  <c r="H103" i="8"/>
  <c r="H104" i="8"/>
  <c r="H105" i="8"/>
  <c r="H106" i="8"/>
  <c r="K106" i="8" s="1"/>
  <c r="H107" i="8"/>
  <c r="J107" i="8" s="1"/>
  <c r="H108" i="8"/>
  <c r="K108" i="8" s="1"/>
  <c r="H109" i="8"/>
  <c r="H110" i="8"/>
  <c r="K110" i="8" s="1"/>
  <c r="H111" i="8"/>
  <c r="H112" i="8"/>
  <c r="K112" i="8" s="1"/>
  <c r="H113" i="8"/>
  <c r="J113" i="8" s="1"/>
  <c r="H114" i="8"/>
  <c r="J114" i="8" s="1"/>
  <c r="H115" i="8"/>
  <c r="K115" i="8" s="1"/>
  <c r="H116" i="8"/>
  <c r="H117" i="8"/>
  <c r="H118" i="8"/>
  <c r="K118" i="8" s="1"/>
  <c r="H119" i="8"/>
  <c r="J119" i="8" s="1"/>
  <c r="H120" i="8"/>
  <c r="J120" i="8" s="1"/>
  <c r="H121" i="8"/>
  <c r="J121" i="8" s="1"/>
  <c r="H122" i="8"/>
  <c r="J122" i="8" s="1"/>
  <c r="H123" i="8"/>
  <c r="H124" i="8"/>
  <c r="K124" i="8" s="1"/>
  <c r="H125" i="8"/>
  <c r="J125" i="8" s="1"/>
  <c r="H126" i="8"/>
  <c r="J126" i="8" s="1"/>
  <c r="H127" i="8"/>
  <c r="H128" i="8"/>
  <c r="K128" i="8" s="1"/>
  <c r="H129" i="8"/>
  <c r="K129" i="8" s="1"/>
  <c r="H130" i="8"/>
  <c r="K130" i="8" s="1"/>
  <c r="H131" i="8"/>
  <c r="K131" i="8" s="1"/>
  <c r="H132" i="8"/>
  <c r="J132" i="8" s="1"/>
  <c r="H133" i="8"/>
  <c r="H134" i="8"/>
  <c r="J134" i="8" s="1"/>
  <c r="H135" i="8"/>
  <c r="H136" i="8"/>
  <c r="J136" i="8" s="1"/>
  <c r="H137" i="8"/>
  <c r="J137" i="8" s="1"/>
  <c r="H138" i="8"/>
  <c r="J138" i="8" s="1"/>
  <c r="H139" i="8"/>
  <c r="H140" i="8"/>
  <c r="H141" i="8"/>
  <c r="H142" i="8"/>
  <c r="K142" i="8" s="1"/>
  <c r="H143" i="8"/>
  <c r="K143" i="8" s="1"/>
  <c r="H144" i="8"/>
  <c r="K144" i="8" s="1"/>
  <c r="H145" i="8"/>
  <c r="H146" i="8"/>
  <c r="J146" i="8" s="1"/>
  <c r="H147" i="8"/>
  <c r="H148" i="8"/>
  <c r="J148" i="8" s="1"/>
  <c r="H149" i="8"/>
  <c r="J149" i="8" s="1"/>
  <c r="H150" i="8"/>
  <c r="J150" i="8" s="1"/>
  <c r="H151" i="8"/>
  <c r="H152" i="8"/>
  <c r="H153" i="8"/>
  <c r="H154" i="8"/>
  <c r="K154" i="8" s="1"/>
  <c r="H155" i="8"/>
  <c r="K155" i="8" s="1"/>
  <c r="H156" i="8"/>
  <c r="J156" i="8" s="1"/>
  <c r="H157" i="8"/>
  <c r="K157" i="8" s="1"/>
  <c r="H158" i="8"/>
  <c r="J158" i="8" s="1"/>
  <c r="H159" i="8"/>
  <c r="H160" i="8"/>
  <c r="J160" i="8" s="1"/>
  <c r="H161" i="8"/>
  <c r="J161" i="8" s="1"/>
  <c r="H162" i="8"/>
  <c r="J162" i="8" s="1"/>
  <c r="H163" i="8"/>
  <c r="H164" i="8"/>
  <c r="H165" i="8"/>
  <c r="H166" i="8"/>
  <c r="K166" i="8" s="1"/>
  <c r="H167" i="8"/>
  <c r="K167" i="8" s="1"/>
  <c r="H168" i="8"/>
  <c r="K168" i="8" s="1"/>
  <c r="H169" i="8"/>
  <c r="H170" i="8"/>
  <c r="H171" i="8"/>
  <c r="K171" i="8" s="1"/>
  <c r="H172" i="8"/>
  <c r="K172" i="8" s="1"/>
  <c r="H173" i="8"/>
  <c r="J173" i="8" s="1"/>
  <c r="H174" i="8"/>
  <c r="J174" i="8" s="1"/>
  <c r="H175" i="8"/>
  <c r="H176" i="8"/>
  <c r="H177" i="8"/>
  <c r="H178" i="8"/>
  <c r="K178" i="8" s="1"/>
  <c r="H179" i="8"/>
  <c r="K179" i="8" s="1"/>
  <c r="H180" i="8"/>
  <c r="K180" i="8" s="1"/>
  <c r="H181" i="8"/>
  <c r="H182" i="8"/>
  <c r="K182" i="8" s="1"/>
  <c r="H183" i="8"/>
  <c r="H184" i="8"/>
  <c r="J184" i="8" s="1"/>
  <c r="H185" i="8"/>
  <c r="J185" i="8" s="1"/>
  <c r="H186" i="8"/>
  <c r="J186" i="8" s="1"/>
  <c r="H187" i="8"/>
  <c r="K187" i="8" s="1"/>
  <c r="H188" i="8"/>
  <c r="H189" i="8"/>
  <c r="H190" i="8"/>
  <c r="K190" i="8" s="1"/>
  <c r="H191" i="8"/>
  <c r="J191" i="8" s="1"/>
  <c r="H192" i="8"/>
  <c r="K192" i="8" s="1"/>
  <c r="H193" i="8"/>
  <c r="H194" i="8"/>
  <c r="K194" i="8" s="1"/>
  <c r="H195" i="8"/>
  <c r="H196" i="8"/>
  <c r="K196" i="8" s="1"/>
  <c r="H197" i="8"/>
  <c r="J197" i="8" s="1"/>
  <c r="H198" i="8"/>
  <c r="J198" i="8" s="1"/>
  <c r="H199" i="8"/>
  <c r="H200" i="8"/>
  <c r="K200" i="8" s="1"/>
  <c r="H201" i="8"/>
  <c r="K201" i="8" s="1"/>
  <c r="H202" i="8"/>
  <c r="K202" i="8" s="1"/>
  <c r="H203" i="8"/>
  <c r="J203" i="8" s="1"/>
  <c r="H204" i="8"/>
  <c r="J204" i="8" s="1"/>
  <c r="H205" i="8"/>
  <c r="H206" i="8"/>
  <c r="J206" i="8" s="1"/>
  <c r="H207" i="8"/>
  <c r="H208" i="8"/>
  <c r="K208" i="8" s="1"/>
  <c r="H209" i="8"/>
  <c r="J209" i="8" s="1"/>
  <c r="H210" i="8"/>
  <c r="J210" i="8" s="1"/>
  <c r="H211" i="8"/>
  <c r="H212" i="8"/>
  <c r="H213" i="8"/>
  <c r="H214" i="8"/>
  <c r="K214" i="8" s="1"/>
  <c r="H215" i="8"/>
  <c r="K215" i="8" s="1"/>
  <c r="H216" i="8"/>
  <c r="J216" i="8" s="1"/>
  <c r="H217" i="8"/>
  <c r="H218" i="8"/>
  <c r="J218" i="8" s="1"/>
  <c r="H219" i="8"/>
  <c r="J219" i="8" s="1"/>
  <c r="H220" i="8"/>
  <c r="J220" i="8" s="1"/>
  <c r="H221" i="8"/>
  <c r="J221" i="8" s="1"/>
  <c r="H222" i="8"/>
  <c r="J222" i="8" s="1"/>
  <c r="H223" i="8"/>
  <c r="H224" i="8"/>
  <c r="H225" i="8"/>
  <c r="H226" i="8"/>
  <c r="K226" i="8" s="1"/>
  <c r="H227" i="8"/>
  <c r="K227" i="8" s="1"/>
  <c r="H228" i="8"/>
  <c r="K228" i="8" s="1"/>
  <c r="H229" i="8"/>
  <c r="K229" i="8" s="1"/>
  <c r="H230" i="8"/>
  <c r="K230" i="8" s="1"/>
  <c r="H231" i="8"/>
  <c r="H232" i="8"/>
  <c r="J232" i="8" s="1"/>
  <c r="H233" i="8"/>
  <c r="J233" i="8" s="1"/>
  <c r="H234" i="8"/>
  <c r="J234" i="8" s="1"/>
  <c r="H235" i="8"/>
  <c r="H236" i="8"/>
  <c r="H237" i="8"/>
  <c r="H238" i="8"/>
  <c r="K238" i="8" s="1"/>
  <c r="H239" i="8"/>
  <c r="J239" i="8" s="1"/>
  <c r="H240" i="8"/>
  <c r="K240" i="8" s="1"/>
  <c r="H241" i="8"/>
  <c r="H242" i="8"/>
  <c r="K242" i="8" s="1"/>
  <c r="H243" i="8"/>
  <c r="K243" i="8" s="1"/>
  <c r="H244" i="8"/>
  <c r="K244" i="8" s="1"/>
  <c r="H245" i="8"/>
  <c r="J245" i="8" s="1"/>
  <c r="H246" i="8"/>
  <c r="J246" i="8" s="1"/>
  <c r="H247" i="8"/>
  <c r="H248" i="8"/>
  <c r="H249" i="8"/>
  <c r="H250" i="8"/>
  <c r="K250" i="8" s="1"/>
  <c r="H251" i="8"/>
  <c r="J251" i="8" s="1"/>
  <c r="H252" i="8"/>
  <c r="J252" i="8" s="1"/>
  <c r="H253" i="8"/>
  <c r="H254" i="8"/>
  <c r="K254" i="8" s="1"/>
  <c r="H255" i="8"/>
  <c r="H256" i="8"/>
  <c r="K256" i="8" s="1"/>
  <c r="H257" i="8"/>
  <c r="H258" i="8"/>
  <c r="J258" i="8" s="1"/>
  <c r="H259" i="8"/>
  <c r="K259" i="8" s="1"/>
  <c r="H260" i="8"/>
  <c r="H261" i="8"/>
  <c r="H262" i="8"/>
  <c r="K262" i="8" s="1"/>
  <c r="H263" i="8"/>
  <c r="J263" i="8" s="1"/>
  <c r="H264" i="8"/>
  <c r="J264" i="8" s="1"/>
  <c r="H265" i="8"/>
  <c r="H266" i="8"/>
  <c r="J266" i="8" s="1"/>
  <c r="H267" i="8"/>
  <c r="J267" i="8" s="1"/>
  <c r="H268" i="8"/>
  <c r="K268" i="8" s="1"/>
  <c r="H269" i="8"/>
  <c r="J269" i="8" s="1"/>
  <c r="H270" i="8"/>
  <c r="J270" i="8" s="1"/>
  <c r="H271" i="8"/>
  <c r="H272" i="8"/>
  <c r="K272" i="8" s="1"/>
  <c r="H273" i="8"/>
  <c r="K273" i="8" s="1"/>
  <c r="H274" i="8"/>
  <c r="K274" i="8" s="1"/>
  <c r="H275" i="8"/>
  <c r="K275" i="8" s="1"/>
  <c r="H276" i="8"/>
  <c r="J276" i="8" s="1"/>
  <c r="H277" i="8"/>
  <c r="H278" i="8"/>
  <c r="J278" i="8" s="1"/>
  <c r="H279" i="8"/>
  <c r="H280" i="8"/>
  <c r="J280" i="8" s="1"/>
  <c r="H281" i="8"/>
  <c r="J281" i="8" s="1"/>
  <c r="H282" i="8"/>
  <c r="J282" i="8" s="1"/>
  <c r="H283" i="8"/>
  <c r="H284" i="8"/>
  <c r="H285" i="8"/>
  <c r="H286" i="8"/>
  <c r="K286" i="8" s="1"/>
  <c r="H287" i="8"/>
  <c r="K287" i="8" s="1"/>
  <c r="H288" i="8"/>
  <c r="K288" i="8" s="1"/>
  <c r="H289" i="8"/>
  <c r="H290" i="8"/>
  <c r="J290" i="8" s="1"/>
  <c r="H291" i="8"/>
  <c r="H292" i="8"/>
  <c r="J292" i="8" s="1"/>
  <c r="H293" i="8"/>
  <c r="J293" i="8" s="1"/>
  <c r="H294" i="8"/>
  <c r="J294" i="8" s="1"/>
  <c r="H295" i="8"/>
  <c r="H296" i="8"/>
  <c r="H297" i="8"/>
  <c r="H298" i="8"/>
  <c r="K298" i="8" s="1"/>
  <c r="H299" i="8"/>
  <c r="J299" i="8" s="1"/>
  <c r="H300" i="8"/>
  <c r="J300" i="8" s="1"/>
  <c r="H301" i="8"/>
  <c r="K301" i="8" s="1"/>
  <c r="H302" i="8"/>
  <c r="J302" i="8" s="1"/>
  <c r="H303" i="8"/>
  <c r="H304" i="8"/>
  <c r="J304" i="8" s="1"/>
  <c r="H305" i="8"/>
  <c r="J305" i="8" s="1"/>
  <c r="H306" i="8"/>
  <c r="J306" i="8" s="1"/>
  <c r="H307" i="8"/>
  <c r="H308" i="8"/>
  <c r="H309" i="8"/>
  <c r="H310" i="8"/>
  <c r="K310" i="8" s="1"/>
  <c r="H311" i="8"/>
  <c r="K311" i="8" s="1"/>
  <c r="H312" i="8"/>
  <c r="J312" i="8" s="1"/>
  <c r="H313" i="8"/>
  <c r="H314" i="8"/>
  <c r="J314" i="8" s="1"/>
  <c r="H315" i="8"/>
  <c r="K315" i="8" s="1"/>
  <c r="H316" i="8"/>
  <c r="K316" i="8" s="1"/>
  <c r="H317" i="8"/>
  <c r="J317" i="8" s="1"/>
  <c r="H318" i="8"/>
  <c r="J318" i="8" s="1"/>
  <c r="H319" i="8"/>
  <c r="H320" i="8"/>
  <c r="H321" i="8"/>
  <c r="H322" i="8"/>
  <c r="K322" i="8" s="1"/>
  <c r="H323" i="8"/>
  <c r="K323" i="8" s="1"/>
  <c r="H324" i="8"/>
  <c r="K324" i="8" s="1"/>
  <c r="H325" i="8"/>
  <c r="H326" i="8"/>
  <c r="K326" i="8" s="1"/>
  <c r="H327" i="8"/>
  <c r="H328" i="8"/>
  <c r="J328" i="8" s="1"/>
  <c r="H329" i="8"/>
  <c r="J329" i="8" s="1"/>
  <c r="H330" i="8"/>
  <c r="J330" i="8" s="1"/>
  <c r="H331" i="8"/>
  <c r="K331" i="8" s="1"/>
  <c r="H332" i="8"/>
  <c r="H333" i="8"/>
  <c r="H334" i="8"/>
  <c r="K334" i="8" s="1"/>
  <c r="H335" i="8"/>
  <c r="J335" i="8" s="1"/>
  <c r="H336" i="8"/>
  <c r="K336" i="8" s="1"/>
  <c r="H337" i="8"/>
  <c r="H338" i="8"/>
  <c r="K338" i="8" s="1"/>
  <c r="H339" i="8"/>
  <c r="H340" i="8"/>
  <c r="K340" i="8" s="1"/>
  <c r="H341" i="8"/>
  <c r="J341" i="8" s="1"/>
  <c r="H342" i="8"/>
  <c r="J342" i="8" s="1"/>
  <c r="H343" i="8"/>
  <c r="K343" i="8" s="1"/>
  <c r="H344" i="8"/>
  <c r="K344" i="8" s="1"/>
  <c r="H345" i="8"/>
  <c r="K345" i="8" s="1"/>
  <c r="H346" i="8"/>
  <c r="K346" i="8" s="1"/>
  <c r="H347" i="8"/>
  <c r="J347" i="8" s="1"/>
  <c r="H348" i="8"/>
  <c r="J348" i="8" s="1"/>
  <c r="H349" i="8"/>
  <c r="H350" i="8"/>
  <c r="J350" i="8" s="1"/>
  <c r="H351" i="8"/>
  <c r="H352" i="8"/>
  <c r="K352" i="8" s="1"/>
  <c r="H353" i="8"/>
  <c r="J353" i="8" s="1"/>
  <c r="H354" i="8"/>
  <c r="J354" i="8" s="1"/>
  <c r="H355" i="8"/>
  <c r="H356" i="8"/>
  <c r="I2" i="8"/>
  <c r="H2" i="8"/>
  <c r="J2" i="8" s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2" i="8"/>
  <c r="F2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3" i="8"/>
  <c r="U18" i="9"/>
  <c r="V10" i="9" s="1"/>
  <c r="L3" i="9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G3" i="9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J511" i="8" l="1"/>
  <c r="J128" i="8"/>
  <c r="J112" i="8"/>
  <c r="K137" i="8"/>
  <c r="K330" i="8"/>
  <c r="J605" i="8"/>
  <c r="J413" i="8"/>
  <c r="J200" i="8"/>
  <c r="J98" i="8"/>
  <c r="K329" i="8"/>
  <c r="J595" i="8"/>
  <c r="J373" i="8"/>
  <c r="J196" i="8"/>
  <c r="J64" i="8"/>
  <c r="K474" i="8"/>
  <c r="K328" i="8"/>
  <c r="K85" i="8"/>
  <c r="J259" i="8"/>
  <c r="J438" i="8"/>
  <c r="J115" i="8"/>
  <c r="J414" i="8"/>
  <c r="J201" i="8"/>
  <c r="K100" i="8"/>
  <c r="J286" i="8"/>
  <c r="J510" i="8"/>
  <c r="J129" i="8"/>
  <c r="J509" i="8"/>
  <c r="J415" i="8"/>
  <c r="J594" i="8"/>
  <c r="J340" i="8"/>
  <c r="J187" i="8"/>
  <c r="J62" i="8"/>
  <c r="K473" i="8"/>
  <c r="K314" i="8"/>
  <c r="K65" i="8"/>
  <c r="J582" i="8"/>
  <c r="J50" i="8"/>
  <c r="K472" i="8"/>
  <c r="K266" i="8"/>
  <c r="K347" i="8"/>
  <c r="K584" i="8"/>
  <c r="K488" i="8"/>
  <c r="J358" i="8"/>
  <c r="J48" i="8"/>
  <c r="K251" i="8"/>
  <c r="J35" i="8"/>
  <c r="J486" i="8"/>
  <c r="J558" i="8"/>
  <c r="J400" i="8"/>
  <c r="K392" i="8"/>
  <c r="K312" i="8"/>
  <c r="J557" i="8"/>
  <c r="J463" i="8"/>
  <c r="J399" i="8"/>
  <c r="J326" i="8"/>
  <c r="J240" i="8"/>
  <c r="J168" i="8"/>
  <c r="J96" i="8"/>
  <c r="J14" i="8"/>
  <c r="K458" i="8"/>
  <c r="K376" i="8"/>
  <c r="K300" i="8"/>
  <c r="K218" i="8"/>
  <c r="K136" i="8"/>
  <c r="K84" i="8"/>
  <c r="J344" i="8"/>
  <c r="K156" i="8"/>
  <c r="J559" i="8"/>
  <c r="J547" i="8"/>
  <c r="J462" i="8"/>
  <c r="J398" i="8"/>
  <c r="J228" i="8"/>
  <c r="J83" i="8"/>
  <c r="K2" i="8"/>
  <c r="K536" i="8"/>
  <c r="K363" i="8"/>
  <c r="K299" i="8"/>
  <c r="K216" i="8"/>
  <c r="K134" i="8"/>
  <c r="K264" i="8"/>
  <c r="J546" i="8"/>
  <c r="J461" i="8"/>
  <c r="J387" i="8"/>
  <c r="J227" i="8"/>
  <c r="J155" i="8"/>
  <c r="J82" i="8"/>
  <c r="K8" i="8"/>
  <c r="K520" i="8"/>
  <c r="K362" i="8"/>
  <c r="K282" i="8"/>
  <c r="K204" i="8"/>
  <c r="K120" i="8"/>
  <c r="K47" i="8"/>
  <c r="K348" i="8"/>
  <c r="J403" i="8"/>
  <c r="J34" i="8"/>
  <c r="J600" i="8"/>
  <c r="J588" i="8"/>
  <c r="J564" i="8"/>
  <c r="J552" i="8"/>
  <c r="J540" i="8"/>
  <c r="J516" i="8"/>
  <c r="J492" i="8"/>
  <c r="J468" i="8"/>
  <c r="J456" i="8"/>
  <c r="J444" i="8"/>
  <c r="J420" i="8"/>
  <c r="J408" i="8"/>
  <c r="J396" i="8"/>
  <c r="J360" i="8"/>
  <c r="J607" i="8"/>
  <c r="J534" i="8"/>
  <c r="J451" i="8"/>
  <c r="J386" i="8"/>
  <c r="J215" i="8"/>
  <c r="J143" i="8"/>
  <c r="J68" i="8"/>
  <c r="K603" i="8"/>
  <c r="K507" i="8"/>
  <c r="K440" i="8"/>
  <c r="K361" i="8"/>
  <c r="K281" i="8"/>
  <c r="K203" i="8"/>
  <c r="K119" i="8"/>
  <c r="K28" i="8"/>
  <c r="J370" i="8"/>
  <c r="K252" i="8"/>
  <c r="J499" i="8"/>
  <c r="J498" i="8"/>
  <c r="J587" i="8"/>
  <c r="J539" i="8"/>
  <c r="J443" i="8"/>
  <c r="J385" i="8"/>
  <c r="J606" i="8"/>
  <c r="J521" i="8"/>
  <c r="J450" i="8"/>
  <c r="J384" i="8"/>
  <c r="J214" i="8"/>
  <c r="J142" i="8"/>
  <c r="J67" i="8"/>
  <c r="K602" i="8"/>
  <c r="K506" i="8"/>
  <c r="K426" i="8"/>
  <c r="K360" i="8"/>
  <c r="K280" i="8"/>
  <c r="K186" i="8"/>
  <c r="K101" i="8"/>
  <c r="K24" i="8"/>
  <c r="K303" i="8"/>
  <c r="J303" i="8"/>
  <c r="K183" i="8"/>
  <c r="J183" i="8"/>
  <c r="J51" i="8"/>
  <c r="K51" i="8"/>
  <c r="J541" i="8"/>
  <c r="K541" i="8"/>
  <c r="J457" i="8"/>
  <c r="K457" i="8"/>
  <c r="K337" i="8"/>
  <c r="J337" i="8"/>
  <c r="J277" i="8"/>
  <c r="K277" i="8"/>
  <c r="J205" i="8"/>
  <c r="K205" i="8"/>
  <c r="K109" i="8"/>
  <c r="J109" i="8"/>
  <c r="K37" i="8"/>
  <c r="J37" i="8"/>
  <c r="K13" i="8"/>
  <c r="J13" i="8"/>
  <c r="J563" i="8"/>
  <c r="K563" i="8"/>
  <c r="J515" i="8"/>
  <c r="K515" i="8"/>
  <c r="J315" i="8"/>
  <c r="J301" i="8"/>
  <c r="K333" i="8"/>
  <c r="J333" i="8"/>
  <c r="K321" i="8"/>
  <c r="J321" i="8"/>
  <c r="K309" i="8"/>
  <c r="J309" i="8"/>
  <c r="K297" i="8"/>
  <c r="J297" i="8"/>
  <c r="K285" i="8"/>
  <c r="J285" i="8"/>
  <c r="K261" i="8"/>
  <c r="J261" i="8"/>
  <c r="K249" i="8"/>
  <c r="J249" i="8"/>
  <c r="K237" i="8"/>
  <c r="J237" i="8"/>
  <c r="K225" i="8"/>
  <c r="J225" i="8"/>
  <c r="K213" i="8"/>
  <c r="J213" i="8"/>
  <c r="K189" i="8"/>
  <c r="J189" i="8"/>
  <c r="K177" i="8"/>
  <c r="J177" i="8"/>
  <c r="K165" i="8"/>
  <c r="J165" i="8"/>
  <c r="K153" i="8"/>
  <c r="J153" i="8"/>
  <c r="K141" i="8"/>
  <c r="J141" i="8"/>
  <c r="K117" i="8"/>
  <c r="J117" i="8"/>
  <c r="K105" i="8"/>
  <c r="J105" i="8"/>
  <c r="K93" i="8"/>
  <c r="J93" i="8"/>
  <c r="K81" i="8"/>
  <c r="J81" i="8"/>
  <c r="K69" i="8"/>
  <c r="J69" i="8"/>
  <c r="K57" i="8"/>
  <c r="J57" i="8"/>
  <c r="K45" i="8"/>
  <c r="J45" i="8"/>
  <c r="K33" i="8"/>
  <c r="J33" i="8"/>
  <c r="K21" i="8"/>
  <c r="J21" i="8"/>
  <c r="K9" i="8"/>
  <c r="J9" i="8"/>
  <c r="K391" i="8"/>
  <c r="J391" i="8"/>
  <c r="K379" i="8"/>
  <c r="J379" i="8"/>
  <c r="K367" i="8"/>
  <c r="J367" i="8"/>
  <c r="J593" i="8"/>
  <c r="J545" i="8"/>
  <c r="J497" i="8"/>
  <c r="J449" i="8"/>
  <c r="J171" i="8"/>
  <c r="J49" i="8"/>
  <c r="K267" i="8"/>
  <c r="K121" i="8"/>
  <c r="K327" i="8"/>
  <c r="J327" i="8"/>
  <c r="K255" i="8"/>
  <c r="J255" i="8"/>
  <c r="K159" i="8"/>
  <c r="J159" i="8"/>
  <c r="J589" i="8"/>
  <c r="K589" i="8"/>
  <c r="J505" i="8"/>
  <c r="K505" i="8"/>
  <c r="J445" i="8"/>
  <c r="K445" i="8"/>
  <c r="K325" i="8"/>
  <c r="J325" i="8"/>
  <c r="J133" i="8"/>
  <c r="K133" i="8"/>
  <c r="J599" i="8"/>
  <c r="K599" i="8"/>
  <c r="J431" i="8"/>
  <c r="K431" i="8"/>
  <c r="J383" i="8"/>
  <c r="K383" i="8"/>
  <c r="J371" i="8"/>
  <c r="K356" i="8"/>
  <c r="J356" i="8"/>
  <c r="K332" i="8"/>
  <c r="J332" i="8"/>
  <c r="J320" i="8"/>
  <c r="K320" i="8"/>
  <c r="J308" i="8"/>
  <c r="K308" i="8"/>
  <c r="J296" i="8"/>
  <c r="K296" i="8"/>
  <c r="J284" i="8"/>
  <c r="K284" i="8"/>
  <c r="K260" i="8"/>
  <c r="J260" i="8"/>
  <c r="J248" i="8"/>
  <c r="K248" i="8"/>
  <c r="J236" i="8"/>
  <c r="K236" i="8"/>
  <c r="K224" i="8"/>
  <c r="J224" i="8"/>
  <c r="K212" i="8"/>
  <c r="J212" i="8"/>
  <c r="K188" i="8"/>
  <c r="J188" i="8"/>
  <c r="J176" i="8"/>
  <c r="K176" i="8"/>
  <c r="J164" i="8"/>
  <c r="K164" i="8"/>
  <c r="J152" i="8"/>
  <c r="K152" i="8"/>
  <c r="K140" i="8"/>
  <c r="J140" i="8"/>
  <c r="K116" i="8"/>
  <c r="J116" i="8"/>
  <c r="K104" i="8"/>
  <c r="J104" i="8"/>
  <c r="K92" i="8"/>
  <c r="J92" i="8"/>
  <c r="K80" i="8"/>
  <c r="J80" i="8"/>
  <c r="K56" i="8"/>
  <c r="J56" i="8"/>
  <c r="K44" i="8"/>
  <c r="J44" i="8"/>
  <c r="K32" i="8"/>
  <c r="J32" i="8"/>
  <c r="J402" i="8"/>
  <c r="K402" i="8"/>
  <c r="J390" i="8"/>
  <c r="K390" i="8"/>
  <c r="J366" i="8"/>
  <c r="K366" i="8"/>
  <c r="J583" i="8"/>
  <c r="J535" i="8"/>
  <c r="J487" i="8"/>
  <c r="J439" i="8"/>
  <c r="J345" i="8"/>
  <c r="J229" i="8"/>
  <c r="K522" i="8"/>
  <c r="J291" i="8"/>
  <c r="K291" i="8"/>
  <c r="K231" i="8"/>
  <c r="J231" i="8"/>
  <c r="J87" i="8"/>
  <c r="K87" i="8"/>
  <c r="J15" i="8"/>
  <c r="K15" i="8"/>
  <c r="K577" i="8"/>
  <c r="J577" i="8"/>
  <c r="K481" i="8"/>
  <c r="J481" i="8"/>
  <c r="J469" i="8"/>
  <c r="K469" i="8"/>
  <c r="J349" i="8"/>
  <c r="K349" i="8"/>
  <c r="J265" i="8"/>
  <c r="K265" i="8"/>
  <c r="K193" i="8"/>
  <c r="J193" i="8"/>
  <c r="K145" i="8"/>
  <c r="J145" i="8"/>
  <c r="K73" i="8"/>
  <c r="J73" i="8"/>
  <c r="J575" i="8"/>
  <c r="K575" i="8"/>
  <c r="J479" i="8"/>
  <c r="K479" i="8"/>
  <c r="J407" i="8"/>
  <c r="K407" i="8"/>
  <c r="J147" i="8"/>
  <c r="K147" i="8"/>
  <c r="K111" i="8"/>
  <c r="J111" i="8"/>
  <c r="J63" i="8"/>
  <c r="K63" i="8"/>
  <c r="J3" i="8"/>
  <c r="K3" i="8"/>
  <c r="J517" i="8"/>
  <c r="K517" i="8"/>
  <c r="K433" i="8"/>
  <c r="J433" i="8"/>
  <c r="K313" i="8"/>
  <c r="J313" i="8"/>
  <c r="K241" i="8"/>
  <c r="J241" i="8"/>
  <c r="K61" i="8"/>
  <c r="J61" i="8"/>
  <c r="J467" i="8"/>
  <c r="K467" i="8"/>
  <c r="K219" i="8"/>
  <c r="J359" i="8"/>
  <c r="K319" i="8"/>
  <c r="J319" i="8"/>
  <c r="K283" i="8"/>
  <c r="J283" i="8"/>
  <c r="K235" i="8"/>
  <c r="J235" i="8"/>
  <c r="K211" i="8"/>
  <c r="J211" i="8"/>
  <c r="K175" i="8"/>
  <c r="J175" i="8"/>
  <c r="K139" i="8"/>
  <c r="J139" i="8"/>
  <c r="K91" i="8"/>
  <c r="J91" i="8"/>
  <c r="K55" i="8"/>
  <c r="J55" i="8"/>
  <c r="J401" i="8"/>
  <c r="K401" i="8"/>
  <c r="J365" i="8"/>
  <c r="K365" i="8"/>
  <c r="K395" i="8"/>
  <c r="J581" i="8"/>
  <c r="J533" i="8"/>
  <c r="J485" i="8"/>
  <c r="J437" i="8"/>
  <c r="J343" i="8"/>
  <c r="J157" i="8"/>
  <c r="J97" i="8"/>
  <c r="K351" i="8"/>
  <c r="J351" i="8"/>
  <c r="J279" i="8"/>
  <c r="K279" i="8"/>
  <c r="K207" i="8"/>
  <c r="J207" i="8"/>
  <c r="J135" i="8"/>
  <c r="K135" i="8"/>
  <c r="J99" i="8"/>
  <c r="K99" i="8"/>
  <c r="J39" i="8"/>
  <c r="K39" i="8"/>
  <c r="J601" i="8"/>
  <c r="K601" i="8"/>
  <c r="J553" i="8"/>
  <c r="K553" i="8"/>
  <c r="J493" i="8"/>
  <c r="K493" i="8"/>
  <c r="J409" i="8"/>
  <c r="K409" i="8"/>
  <c r="K289" i="8"/>
  <c r="J289" i="8"/>
  <c r="K217" i="8"/>
  <c r="J217" i="8"/>
  <c r="K181" i="8"/>
  <c r="J181" i="8"/>
  <c r="J611" i="8"/>
  <c r="K611" i="8"/>
  <c r="J551" i="8"/>
  <c r="K551" i="8"/>
  <c r="J503" i="8"/>
  <c r="K503" i="8"/>
  <c r="J455" i="8"/>
  <c r="K455" i="8"/>
  <c r="J419" i="8"/>
  <c r="K419" i="8"/>
  <c r="K539" i="8"/>
  <c r="K295" i="8"/>
  <c r="J295" i="8"/>
  <c r="K199" i="8"/>
  <c r="J199" i="8"/>
  <c r="K163" i="8"/>
  <c r="J163" i="8"/>
  <c r="K127" i="8"/>
  <c r="J127" i="8"/>
  <c r="K79" i="8"/>
  <c r="J79" i="8"/>
  <c r="K31" i="8"/>
  <c r="J31" i="8"/>
  <c r="K7" i="8"/>
  <c r="J7" i="8"/>
  <c r="J571" i="8"/>
  <c r="J523" i="8"/>
  <c r="J475" i="8"/>
  <c r="J427" i="8"/>
  <c r="J273" i="8"/>
  <c r="J20" i="8"/>
  <c r="K570" i="8"/>
  <c r="K378" i="8"/>
  <c r="K27" i="8"/>
  <c r="K339" i="8"/>
  <c r="J339" i="8"/>
  <c r="K195" i="8"/>
  <c r="J195" i="8"/>
  <c r="J123" i="8"/>
  <c r="K123" i="8"/>
  <c r="J75" i="8"/>
  <c r="K75" i="8"/>
  <c r="J565" i="8"/>
  <c r="K565" i="8"/>
  <c r="K529" i="8"/>
  <c r="J529" i="8"/>
  <c r="J421" i="8"/>
  <c r="K421" i="8"/>
  <c r="J253" i="8"/>
  <c r="K253" i="8"/>
  <c r="K169" i="8"/>
  <c r="J169" i="8"/>
  <c r="J25" i="8"/>
  <c r="K25" i="8"/>
  <c r="J527" i="8"/>
  <c r="K527" i="8"/>
  <c r="K491" i="8"/>
  <c r="J243" i="8"/>
  <c r="K355" i="8"/>
  <c r="J355" i="8"/>
  <c r="K307" i="8"/>
  <c r="J307" i="8"/>
  <c r="K271" i="8"/>
  <c r="J271" i="8"/>
  <c r="K247" i="8"/>
  <c r="J247" i="8"/>
  <c r="K223" i="8"/>
  <c r="J223" i="8"/>
  <c r="K151" i="8"/>
  <c r="J151" i="8"/>
  <c r="K103" i="8"/>
  <c r="J103" i="8"/>
  <c r="K43" i="8"/>
  <c r="J43" i="8"/>
  <c r="J389" i="8"/>
  <c r="K389" i="8"/>
  <c r="K587" i="8"/>
  <c r="J331" i="8"/>
  <c r="J272" i="8"/>
  <c r="J19" i="8"/>
  <c r="K443" i="8"/>
  <c r="K377" i="8"/>
  <c r="J609" i="8"/>
  <c r="J597" i="8"/>
  <c r="J585" i="8"/>
  <c r="J573" i="8"/>
  <c r="J561" i="8"/>
  <c r="J549" i="8"/>
  <c r="J537" i="8"/>
  <c r="J525" i="8"/>
  <c r="J513" i="8"/>
  <c r="J501" i="8"/>
  <c r="J489" i="8"/>
  <c r="J477" i="8"/>
  <c r="J465" i="8"/>
  <c r="J453" i="8"/>
  <c r="J441" i="8"/>
  <c r="J429" i="8"/>
  <c r="J417" i="8"/>
  <c r="J405" i="8"/>
  <c r="J375" i="8"/>
  <c r="J275" i="8"/>
  <c r="J131" i="8"/>
  <c r="J70" i="8"/>
  <c r="J22" i="8"/>
  <c r="K590" i="8"/>
  <c r="K542" i="8"/>
  <c r="K494" i="8"/>
  <c r="K446" i="8"/>
  <c r="K350" i="8"/>
  <c r="K335" i="8"/>
  <c r="K317" i="8"/>
  <c r="K302" i="8"/>
  <c r="K269" i="8"/>
  <c r="K239" i="8"/>
  <c r="K221" i="8"/>
  <c r="K206" i="8"/>
  <c r="K191" i="8"/>
  <c r="K173" i="8"/>
  <c r="K158" i="8"/>
  <c r="K107" i="8"/>
  <c r="K71" i="8"/>
  <c r="K30" i="8"/>
  <c r="J608" i="8"/>
  <c r="J596" i="8"/>
  <c r="J572" i="8"/>
  <c r="J560" i="8"/>
  <c r="J548" i="8"/>
  <c r="J524" i="8"/>
  <c r="J512" i="8"/>
  <c r="J500" i="8"/>
  <c r="J476" i="8"/>
  <c r="J464" i="8"/>
  <c r="J452" i="8"/>
  <c r="J428" i="8"/>
  <c r="J416" i="8"/>
  <c r="J404" i="8"/>
  <c r="J388" i="8"/>
  <c r="J374" i="8"/>
  <c r="J346" i="8"/>
  <c r="J316" i="8"/>
  <c r="J288" i="8"/>
  <c r="J274" i="8"/>
  <c r="J244" i="8"/>
  <c r="J230" i="8"/>
  <c r="J202" i="8"/>
  <c r="J172" i="8"/>
  <c r="J144" i="8"/>
  <c r="J130" i="8"/>
  <c r="J52" i="8"/>
  <c r="J36" i="8"/>
  <c r="J4" i="8"/>
  <c r="K604" i="8"/>
  <c r="K556" i="8"/>
  <c r="K508" i="8"/>
  <c r="K460" i="8"/>
  <c r="K412" i="8"/>
  <c r="K397" i="8"/>
  <c r="K380" i="8"/>
  <c r="K364" i="8"/>
  <c r="K220" i="8"/>
  <c r="K138" i="8"/>
  <c r="K122" i="8"/>
  <c r="K102" i="8"/>
  <c r="K86" i="8"/>
  <c r="K66" i="8"/>
  <c r="K29" i="8"/>
  <c r="J18" i="8"/>
  <c r="K18" i="8"/>
  <c r="J592" i="8"/>
  <c r="J580" i="8"/>
  <c r="J544" i="8"/>
  <c r="J532" i="8"/>
  <c r="J496" i="8"/>
  <c r="J484" i="8"/>
  <c r="J448" i="8"/>
  <c r="J436" i="8"/>
  <c r="J298" i="8"/>
  <c r="J226" i="8"/>
  <c r="J154" i="8"/>
  <c r="J95" i="8"/>
  <c r="K6" i="8"/>
  <c r="K567" i="8"/>
  <c r="K519" i="8"/>
  <c r="K471" i="8"/>
  <c r="K423" i="8"/>
  <c r="K342" i="8"/>
  <c r="K294" i="8"/>
  <c r="K246" i="8"/>
  <c r="K198" i="8"/>
  <c r="K150" i="8"/>
  <c r="K114" i="8"/>
  <c r="K78" i="8"/>
  <c r="K42" i="8"/>
  <c r="J591" i="8"/>
  <c r="J579" i="8"/>
  <c r="J543" i="8"/>
  <c r="J531" i="8"/>
  <c r="J495" i="8"/>
  <c r="J483" i="8"/>
  <c r="J447" i="8"/>
  <c r="J435" i="8"/>
  <c r="J369" i="8"/>
  <c r="J311" i="8"/>
  <c r="J167" i="8"/>
  <c r="J94" i="8"/>
  <c r="J46" i="8"/>
  <c r="K5" i="8"/>
  <c r="K566" i="8"/>
  <c r="K518" i="8"/>
  <c r="K470" i="8"/>
  <c r="K422" i="8"/>
  <c r="K341" i="8"/>
  <c r="K293" i="8"/>
  <c r="K278" i="8"/>
  <c r="K263" i="8"/>
  <c r="K245" i="8"/>
  <c r="K197" i="8"/>
  <c r="K149" i="8"/>
  <c r="K113" i="8"/>
  <c r="K77" i="8"/>
  <c r="K41" i="8"/>
  <c r="K23" i="8"/>
  <c r="J257" i="8"/>
  <c r="J17" i="8"/>
  <c r="K17" i="8"/>
  <c r="J578" i="8"/>
  <c r="J530" i="8"/>
  <c r="J482" i="8"/>
  <c r="J434" i="8"/>
  <c r="J382" i="8"/>
  <c r="J368" i="8"/>
  <c r="J352" i="8"/>
  <c r="J338" i="8"/>
  <c r="J324" i="8"/>
  <c r="J310" i="8"/>
  <c r="J238" i="8"/>
  <c r="J208" i="8"/>
  <c r="J194" i="8"/>
  <c r="J180" i="8"/>
  <c r="J166" i="8"/>
  <c r="J108" i="8"/>
  <c r="J76" i="8"/>
  <c r="J60" i="8"/>
  <c r="J12" i="8"/>
  <c r="K292" i="8"/>
  <c r="K148" i="8"/>
  <c r="K132" i="8"/>
  <c r="K40" i="8"/>
  <c r="J381" i="8"/>
  <c r="J323" i="8"/>
  <c r="J179" i="8"/>
  <c r="J74" i="8"/>
  <c r="J59" i="8"/>
  <c r="J26" i="8"/>
  <c r="J11" i="8"/>
  <c r="K564" i="8"/>
  <c r="K516" i="8"/>
  <c r="K468" i="8"/>
  <c r="K420" i="8"/>
  <c r="K354" i="8"/>
  <c r="K306" i="8"/>
  <c r="K276" i="8"/>
  <c r="K258" i="8"/>
  <c r="K210" i="8"/>
  <c r="K162" i="8"/>
  <c r="J576" i="8"/>
  <c r="J528" i="8"/>
  <c r="J480" i="8"/>
  <c r="J432" i="8"/>
  <c r="J394" i="8"/>
  <c r="J336" i="8"/>
  <c r="J322" i="8"/>
  <c r="J250" i="8"/>
  <c r="J192" i="8"/>
  <c r="J178" i="8"/>
  <c r="J106" i="8"/>
  <c r="J58" i="8"/>
  <c r="J10" i="8"/>
  <c r="K353" i="8"/>
  <c r="K305" i="8"/>
  <c r="K290" i="8"/>
  <c r="K257" i="8"/>
  <c r="K209" i="8"/>
  <c r="K161" i="8"/>
  <c r="K146" i="8"/>
  <c r="K126" i="8"/>
  <c r="K90" i="8"/>
  <c r="K54" i="8"/>
  <c r="J393" i="8"/>
  <c r="J88" i="8"/>
  <c r="J72" i="8"/>
  <c r="K304" i="8"/>
  <c r="K160" i="8"/>
  <c r="K125" i="8"/>
  <c r="K89" i="8"/>
  <c r="K53" i="8"/>
  <c r="J610" i="8"/>
  <c r="J598" i="8"/>
  <c r="J586" i="8"/>
  <c r="J574" i="8"/>
  <c r="J562" i="8"/>
  <c r="J550" i="8"/>
  <c r="J538" i="8"/>
  <c r="J526" i="8"/>
  <c r="J514" i="8"/>
  <c r="J502" i="8"/>
  <c r="J490" i="8"/>
  <c r="J478" i="8"/>
  <c r="J466" i="8"/>
  <c r="J454" i="8"/>
  <c r="J442" i="8"/>
  <c r="J430" i="8"/>
  <c r="J418" i="8"/>
  <c r="J406" i="8"/>
  <c r="J334" i="8"/>
  <c r="J262" i="8"/>
  <c r="J190" i="8"/>
  <c r="J118" i="8"/>
  <c r="J38" i="8"/>
  <c r="K318" i="8"/>
  <c r="K270" i="8"/>
  <c r="K222" i="8"/>
  <c r="K174" i="8"/>
  <c r="V9" i="9"/>
  <c r="V8" i="9"/>
  <c r="V7" i="9"/>
  <c r="V3" i="9"/>
  <c r="W3" i="9" s="1"/>
  <c r="V5" i="9"/>
  <c r="V15" i="9"/>
  <c r="V12" i="9"/>
  <c r="V11" i="9"/>
  <c r="V6" i="9"/>
  <c r="V16" i="9"/>
  <c r="V4" i="9"/>
  <c r="V14" i="9"/>
  <c r="V13" i="9"/>
  <c r="W4" i="9" l="1"/>
  <c r="X4" i="9" l="1"/>
  <c r="W5" i="9"/>
  <c r="W6" i="9" l="1"/>
  <c r="X5" i="9"/>
  <c r="W7" i="9" l="1"/>
  <c r="X6" i="9"/>
  <c r="W8" i="9" l="1"/>
  <c r="X7" i="9"/>
  <c r="W9" i="9" l="1"/>
  <c r="X8" i="9"/>
  <c r="W10" i="9" l="1"/>
  <c r="X9" i="9"/>
  <c r="W11" i="9" l="1"/>
  <c r="X10" i="9"/>
  <c r="W12" i="9" l="1"/>
  <c r="X11" i="9"/>
  <c r="W13" i="9" l="1"/>
  <c r="X12" i="9"/>
  <c r="W14" i="9" l="1"/>
  <c r="X13" i="9"/>
  <c r="W15" i="9" l="1"/>
  <c r="X14" i="9"/>
  <c r="W16" i="9" l="1"/>
  <c r="X16" i="9" s="1"/>
  <c r="X15" i="9"/>
  <c r="P44" i="9"/>
  <c r="P5" i="9" l="1"/>
  <c r="P18" i="9"/>
  <c r="P31" i="9"/>
  <c r="P34" i="9"/>
  <c r="P29" i="9"/>
  <c r="P24" i="9"/>
  <c r="P36" i="9"/>
  <c r="P16" i="9"/>
  <c r="P23" i="9"/>
  <c r="P45" i="9"/>
  <c r="P19" i="9"/>
  <c r="P42" i="9"/>
  <c r="P6" i="9"/>
  <c r="P10" i="9"/>
  <c r="P27" i="9"/>
  <c r="P8" i="9"/>
  <c r="P25" i="9"/>
  <c r="P14" i="9"/>
  <c r="P11" i="9"/>
  <c r="P33" i="9"/>
  <c r="P43" i="9"/>
  <c r="P7" i="9"/>
  <c r="P39" i="9"/>
  <c r="P41" i="9"/>
  <c r="P37" i="9"/>
  <c r="P3" i="9"/>
  <c r="Q3" i="9" s="1"/>
  <c r="P4" i="9"/>
  <c r="P32" i="9"/>
  <c r="P30" i="9"/>
  <c r="P26" i="9"/>
  <c r="P40" i="9"/>
  <c r="P22" i="9"/>
  <c r="P9" i="9"/>
  <c r="P20" i="9"/>
  <c r="P17" i="9"/>
  <c r="P13" i="9"/>
  <c r="P12" i="9"/>
  <c r="P28" i="9"/>
  <c r="P38" i="9"/>
  <c r="P15" i="9"/>
  <c r="P21" i="9"/>
  <c r="P35" i="9"/>
  <c r="Q4" i="9" l="1"/>
  <c r="Q5" i="9" l="1"/>
  <c r="Q6" i="9" l="1"/>
  <c r="Q7" i="9" l="1"/>
  <c r="Q8" i="9" l="1"/>
  <c r="Q9" i="9" l="1"/>
  <c r="Q10" i="9" l="1"/>
  <c r="Q11" i="9" l="1"/>
  <c r="Q12" i="9" l="1"/>
  <c r="Q13" i="9" l="1"/>
  <c r="Q14" i="9" l="1"/>
  <c r="Q15" i="9" l="1"/>
  <c r="Q16" i="9" l="1"/>
  <c r="Q17" i="9" l="1"/>
  <c r="Q18" i="9" l="1"/>
  <c r="Q19" i="9" l="1"/>
  <c r="Q20" i="9" l="1"/>
  <c r="Q21" i="9" l="1"/>
  <c r="Q22" i="9" l="1"/>
  <c r="Q23" i="9" l="1"/>
  <c r="Q24" i="9" l="1"/>
  <c r="Q25" i="9" l="1"/>
  <c r="Q26" i="9" l="1"/>
  <c r="Q27" i="9" l="1"/>
  <c r="Q28" i="9" l="1"/>
  <c r="Q29" i="9" l="1"/>
  <c r="Q30" i="9" l="1"/>
  <c r="Q31" i="9" l="1"/>
  <c r="Q32" i="9" l="1"/>
  <c r="Q33" i="9" l="1"/>
  <c r="Q34" i="9" l="1"/>
  <c r="Q35" i="9" l="1"/>
  <c r="Q36" i="9" l="1"/>
  <c r="Q37" i="9" l="1"/>
  <c r="Q38" i="9" l="1"/>
  <c r="Q39" i="9" l="1"/>
  <c r="Q40" i="9" l="1"/>
  <c r="Q41" i="9" l="1"/>
  <c r="Q42" i="9" l="1"/>
  <c r="Q43" i="9" l="1"/>
  <c r="Q44" i="9" l="1"/>
  <c r="Q45" i="9" l="1"/>
</calcChain>
</file>

<file path=xl/sharedStrings.xml><?xml version="1.0" encoding="utf-8"?>
<sst xmlns="http://schemas.openxmlformats.org/spreadsheetml/2006/main" count="4126" uniqueCount="209">
  <si>
    <t>DATE</t>
  </si>
  <si>
    <t>SERVICE</t>
  </si>
  <si>
    <t>AMOUNT PAID</t>
  </si>
  <si>
    <t>CUSTOMER TYPE</t>
  </si>
  <si>
    <t>CATEGORY</t>
  </si>
  <si>
    <t>Eyebrow Threading</t>
  </si>
  <si>
    <t>New</t>
  </si>
  <si>
    <t>Beauty service</t>
  </si>
  <si>
    <t>Repeat</t>
  </si>
  <si>
    <t>Baby shower Makeup</t>
  </si>
  <si>
    <t>fruit facial</t>
  </si>
  <si>
    <t>Saree prepleat</t>
  </si>
  <si>
    <t>Bleach</t>
  </si>
  <si>
    <t>U cut</t>
  </si>
  <si>
    <t>Hair coloring</t>
  </si>
  <si>
    <t>layer cut</t>
  </si>
  <si>
    <t>Cleanup</t>
  </si>
  <si>
    <t xml:space="preserve"> Golden facial facial</t>
  </si>
  <si>
    <t>Color apply</t>
  </si>
  <si>
    <t>Straight cut</t>
  </si>
  <si>
    <t>De-tan Facial</t>
  </si>
  <si>
    <t>face Wax</t>
  </si>
  <si>
    <t>Basic cut</t>
  </si>
  <si>
    <t>hand Wax</t>
  </si>
  <si>
    <t>simple Makeup</t>
  </si>
  <si>
    <t>butterfly cut</t>
  </si>
  <si>
    <t>Pearl facial facial</t>
  </si>
  <si>
    <t>straight cut</t>
  </si>
  <si>
    <t>Pearl facial</t>
  </si>
  <si>
    <t>Head Massage</t>
  </si>
  <si>
    <t>Hair cut</t>
  </si>
  <si>
    <t>Hair SPA</t>
  </si>
  <si>
    <t>Ear piercing</t>
  </si>
  <si>
    <t>fruit</t>
  </si>
  <si>
    <t>vit c fac</t>
  </si>
  <si>
    <t>bridal fac</t>
  </si>
  <si>
    <t>EBS</t>
  </si>
  <si>
    <t>babycut</t>
  </si>
  <si>
    <t>feather cut</t>
  </si>
  <si>
    <t>Facial</t>
  </si>
  <si>
    <t>wine Facial</t>
  </si>
  <si>
    <t>Lice treatment</t>
  </si>
  <si>
    <t>Bridal Makeup</t>
  </si>
  <si>
    <t>Golden facial</t>
  </si>
  <si>
    <t>Hair wash</t>
  </si>
  <si>
    <t>Smoothening</t>
  </si>
  <si>
    <t>u cut</t>
  </si>
  <si>
    <t>diamond fac</t>
  </si>
  <si>
    <t>green tea fac</t>
  </si>
  <si>
    <t>f wax</t>
  </si>
  <si>
    <t>under arm wax</t>
  </si>
  <si>
    <t>detan</t>
  </si>
  <si>
    <t>cleanup</t>
  </si>
  <si>
    <t>Wax</t>
  </si>
  <si>
    <t>Akka</t>
  </si>
  <si>
    <t>h. wax</t>
  </si>
  <si>
    <t>Saree drape</t>
  </si>
  <si>
    <t>Pedicure</t>
  </si>
  <si>
    <t>splittens</t>
  </si>
  <si>
    <t>Alteration work</t>
  </si>
  <si>
    <t>Tailoring service</t>
  </si>
  <si>
    <t xml:space="preserve">Blouse </t>
  </si>
  <si>
    <t>Maxi aari work</t>
  </si>
  <si>
    <t>Maxi</t>
  </si>
  <si>
    <t xml:space="preserve">Aari Blouse </t>
  </si>
  <si>
    <t>Saree 3</t>
  </si>
  <si>
    <t>Salwar</t>
  </si>
  <si>
    <t>Blouse 4</t>
  </si>
  <si>
    <t>sleeve 2</t>
  </si>
  <si>
    <t>Pant</t>
  </si>
  <si>
    <t>Oram stitching</t>
  </si>
  <si>
    <t>sleeve</t>
  </si>
  <si>
    <t>Aari blouse</t>
  </si>
  <si>
    <t>Aari blouse 2</t>
  </si>
  <si>
    <t>Party makeup</t>
  </si>
  <si>
    <t>full arms</t>
  </si>
  <si>
    <t>blouse</t>
  </si>
  <si>
    <t>fals stitching</t>
  </si>
  <si>
    <t xml:space="preserve">Chudidhar </t>
  </si>
  <si>
    <t>Blowdry</t>
  </si>
  <si>
    <t>kids cut</t>
  </si>
  <si>
    <t>wine facial</t>
  </si>
  <si>
    <t>w fac eye</t>
  </si>
  <si>
    <t>H.wax</t>
  </si>
  <si>
    <t>u Hair cut ey</t>
  </si>
  <si>
    <t>Hair cut ey</t>
  </si>
  <si>
    <t>Hair coloring full</t>
  </si>
  <si>
    <t>whitening fac</t>
  </si>
  <si>
    <t>saree</t>
  </si>
  <si>
    <t xml:space="preserve">Chudidhar 2 </t>
  </si>
  <si>
    <t xml:space="preserve"> hair coloring f</t>
  </si>
  <si>
    <t>simple makeup</t>
  </si>
  <si>
    <t>salwar</t>
  </si>
  <si>
    <t>Uniform stitching</t>
  </si>
  <si>
    <t>bridal facial</t>
  </si>
  <si>
    <t>hair ironing eye</t>
  </si>
  <si>
    <t>machine embroidry</t>
  </si>
  <si>
    <t>bleach</t>
  </si>
  <si>
    <t>blouse 2</t>
  </si>
  <si>
    <t>Alteration work 2</t>
  </si>
  <si>
    <t>blouse 4</t>
  </si>
  <si>
    <t>puff sleeve 2</t>
  </si>
  <si>
    <t>Baby Shower Makeup</t>
  </si>
  <si>
    <t>Fruit Facial</t>
  </si>
  <si>
    <t>Layer cut</t>
  </si>
  <si>
    <t>Golden Facial</t>
  </si>
  <si>
    <t>Face Wax</t>
  </si>
  <si>
    <t>Hand Wax</t>
  </si>
  <si>
    <t>Simple Makeup</t>
  </si>
  <si>
    <t>Butterfly cut</t>
  </si>
  <si>
    <t>Pearl Facial</t>
  </si>
  <si>
    <t>Baby cut</t>
  </si>
  <si>
    <t>Vitamin C Facial</t>
  </si>
  <si>
    <t>Bridal Facial</t>
  </si>
  <si>
    <t>Feather cut</t>
  </si>
  <si>
    <t>Wine Facial</t>
  </si>
  <si>
    <t>Diamond Facial</t>
  </si>
  <si>
    <t>Green Tea Facial</t>
  </si>
  <si>
    <t>Under Arm Wax</t>
  </si>
  <si>
    <t>Blouse</t>
  </si>
  <si>
    <t>Whitening Facial</t>
  </si>
  <si>
    <t>Maxi Aari Work</t>
  </si>
  <si>
    <t xml:space="preserve">Aari Blouse  </t>
  </si>
  <si>
    <t>Saree Oram</t>
  </si>
  <si>
    <t>Bridal Blouse</t>
  </si>
  <si>
    <t>Sleeve</t>
  </si>
  <si>
    <t>Oram Stitching</t>
  </si>
  <si>
    <t>Party Makeup</t>
  </si>
  <si>
    <t>Full Arms Wax</t>
  </si>
  <si>
    <t>Fals Stitching</t>
  </si>
  <si>
    <t>hair coloring full</t>
  </si>
  <si>
    <t>Uniform Stitching</t>
  </si>
  <si>
    <t>Straightening</t>
  </si>
  <si>
    <t>Machine Embroidery</t>
  </si>
  <si>
    <t>TAILORING SERVICE</t>
  </si>
  <si>
    <t>MIN PRICE</t>
  </si>
  <si>
    <t>MAX PRICE</t>
  </si>
  <si>
    <t>Top</t>
  </si>
  <si>
    <t>Leg Wax Half</t>
  </si>
  <si>
    <t>Leg Wax Full</t>
  </si>
  <si>
    <t>Category</t>
  </si>
  <si>
    <t>Revenue</t>
  </si>
  <si>
    <t>Total Revenue</t>
  </si>
  <si>
    <t>Minimum Amount Paid</t>
  </si>
  <si>
    <t>Maximum Amount Paid</t>
  </si>
  <si>
    <t>Standard Deviation</t>
  </si>
  <si>
    <t>Average Amount Paid</t>
  </si>
  <si>
    <t>Median Amount Paid</t>
  </si>
  <si>
    <t>Total Services Delivered</t>
  </si>
  <si>
    <t>Unique Services Offered</t>
  </si>
  <si>
    <t>2024-2025 Beauty service</t>
  </si>
  <si>
    <t>Feb - Jun 2025 Beauty service</t>
  </si>
  <si>
    <t>Feb - Jun 2025 Tailoring service</t>
  </si>
  <si>
    <t>Grand Total</t>
  </si>
  <si>
    <t>services</t>
  </si>
  <si>
    <t>% of Total revenue</t>
  </si>
  <si>
    <t>2024-2025 beauty service</t>
  </si>
  <si>
    <t>Cummulative %</t>
  </si>
  <si>
    <t>Services</t>
  </si>
  <si>
    <t>Cumulative</t>
  </si>
  <si>
    <t>ABC Category</t>
  </si>
  <si>
    <t>Service</t>
  </si>
  <si>
    <t>BEAUTY SERVICE - ABC ANALYSIS</t>
  </si>
  <si>
    <t>MONTH-YEAR</t>
  </si>
  <si>
    <t>Apr-2025</t>
  </si>
  <si>
    <t>Aug-2024</t>
  </si>
  <si>
    <t>Dec-2024</t>
  </si>
  <si>
    <t>Feb-2025</t>
  </si>
  <si>
    <t>Jan-2025</t>
  </si>
  <si>
    <t>Jul-2024</t>
  </si>
  <si>
    <t>Jun-2025</t>
  </si>
  <si>
    <t>Mar-2025</t>
  </si>
  <si>
    <t>May-2025</t>
  </si>
  <si>
    <t>Nov-2024</t>
  </si>
  <si>
    <t>Oct-2024</t>
  </si>
  <si>
    <t>Sep-2024</t>
  </si>
  <si>
    <t>MONTHNUM</t>
  </si>
  <si>
    <t>Monthly Trend analysis-Beauty</t>
  </si>
  <si>
    <t>Monthly Trend analysis-Tailoring</t>
  </si>
  <si>
    <t>Month-year</t>
  </si>
  <si>
    <t>% of Total</t>
  </si>
  <si>
    <t>Customer type</t>
  </si>
  <si>
    <t>Customer Type – Revenue Contribution(Beauty)</t>
  </si>
  <si>
    <t>Customer Type – Revenue Contribution(Tailoring)</t>
  </si>
  <si>
    <t>Customer Revenue by Category (New vs Repeat)</t>
  </si>
  <si>
    <t>Service-Based Segmentation: New vs Repeat Customers (Beauty)</t>
  </si>
  <si>
    <t>Service-Based Segmentation: New vs Repeat Customers (Tailoring)</t>
  </si>
  <si>
    <t>MIN price</t>
  </si>
  <si>
    <t>MAX price</t>
  </si>
  <si>
    <t>Combined Services Price list</t>
  </si>
  <si>
    <t>BEAUTY SERVICE</t>
  </si>
  <si>
    <t>Pricing Behavior</t>
  </si>
  <si>
    <t>Above Max</t>
  </si>
  <si>
    <t>Within Range</t>
  </si>
  <si>
    <t>Below Min(Bargain)</t>
  </si>
  <si>
    <t>Count of Pricing Behavior</t>
  </si>
  <si>
    <t>price behavior</t>
  </si>
  <si>
    <t>Pricing Behavior - Beauty</t>
  </si>
  <si>
    <t>Pricing Behavior - Tailoring</t>
  </si>
  <si>
    <t>Service-Wise Bargaining Count (Beauty)</t>
  </si>
  <si>
    <t>Service-Wise Bargaining Count (Tailoring)</t>
  </si>
  <si>
    <t>Price behavior (New vs repeat) Beauty</t>
  </si>
  <si>
    <t>Revenue Loss</t>
  </si>
  <si>
    <t>Sum of Revenue Loss</t>
  </si>
  <si>
    <t>Revenue Loss (Beauty and Tailoring)</t>
  </si>
  <si>
    <t>Absolute Revenue</t>
  </si>
  <si>
    <t>TAILORING SERVICE - ABC ANALYSIS</t>
  </si>
  <si>
    <t>AMOUNT_PAID</t>
  </si>
  <si>
    <t>CUSTOMER_TYPE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</si>
</sst>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"/>
    <numFmt numFmtId="165" formatCode="&quot;₹&quot;\ #,##0.00"/>
    <numFmt numFmtId="166" formatCode="[$₹-4009]\ #,##0.00;[$₹-4009]\ \-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right"/>
    </xf>
    <xf numFmtId="10" fontId="0" fillId="0" borderId="0" xfId="0" applyNumberFormat="1"/>
    <xf numFmtId="10" fontId="0" fillId="0" borderId="1" xfId="0" applyNumberFormat="1" applyBorder="1"/>
    <xf numFmtId="0" fontId="0" fillId="0" borderId="0" xfId="0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horizontal="left" indent="1"/>
    </xf>
    <xf numFmtId="0" fontId="5" fillId="2" borderId="0" xfId="0" applyFont="1" applyFill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10" fontId="0" fillId="3" borderId="1" xfId="0" applyNumberFormat="1" applyFill="1" applyBorder="1"/>
    <xf numFmtId="0" fontId="5" fillId="2" borderId="1" xfId="0" applyFont="1" applyFill="1" applyBorder="1" applyAlignment="1">
      <alignment horizontal="left"/>
    </xf>
    <xf numFmtId="10" fontId="5" fillId="2" borderId="1" xfId="0" applyNumberFormat="1" applyFont="1" applyFill="1" applyBorder="1"/>
    <xf numFmtId="165" fontId="5" fillId="2" borderId="1" xfId="0" applyNumberFormat="1" applyFont="1" applyFill="1" applyBorder="1"/>
    <xf numFmtId="165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0" fillId="3" borderId="1" xfId="0" applyFill="1" applyBorder="1" applyAlignment="1">
      <alignment horizontal="left" indent="1"/>
    </xf>
    <xf numFmtId="0" fontId="5" fillId="2" borderId="0" xfId="0" applyFont="1" applyFill="1" applyAlignment="1">
      <alignment horizontal="left"/>
    </xf>
    <xf numFmtId="166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5" fillId="2" borderId="4" xfId="0" applyFont="1" applyFill="1" applyBorder="1"/>
    <xf numFmtId="0" fontId="0" fillId="3" borderId="4" xfId="0" applyFill="1" applyBorder="1"/>
    <xf numFmtId="0" fontId="5" fillId="0" borderId="0" xfId="0" applyFont="1" applyAlignment="1">
      <alignment horizontal="center"/>
    </xf>
    <xf numFmtId="0" fontId="0" fillId="3" borderId="0" xfId="0" applyFill="1"/>
    <xf numFmtId="0" fontId="0" fillId="0" borderId="5" xfId="0" applyBorder="1"/>
    <xf numFmtId="0" fontId="5" fillId="0" borderId="5" xfId="0" applyFont="1" applyBorder="1" applyAlignment="1">
      <alignment horizontal="left"/>
    </xf>
    <xf numFmtId="0" fontId="5" fillId="0" borderId="4" xfId="0" applyFont="1" applyBorder="1"/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7" xfId="0" applyBorder="1"/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4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 - Tailoring ( New Vs Repeat)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2548381452318461"/>
          <c:y val="0.17634259259259263"/>
          <c:w val="0.84396062992125986"/>
          <c:h val="0.516812846310877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Business_Statistics!$U$21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Business_Statistics!$T$22:$T$26</c:f>
              <c:strCache>
                <c:ptCount val="5"/>
                <c:pt idx="0">
                  <c:v>Feb-2025</c:v>
                </c:pt>
                <c:pt idx="1">
                  <c:v>Mar-2025</c:v>
                </c:pt>
                <c:pt idx="2">
                  <c:v>Apr-2025</c:v>
                </c:pt>
                <c:pt idx="3">
                  <c:v>May-2025</c:v>
                </c:pt>
                <c:pt idx="4">
                  <c:v>Jun-2025</c:v>
                </c:pt>
              </c:strCache>
            </c:strRef>
          </c:cat>
          <c:val>
            <c:numRef>
              <c:f>Business_Statistics!$U$22:$U$26</c:f>
              <c:numCache>
                <c:formatCode>General</c:formatCode>
                <c:ptCount val="5"/>
                <c:pt idx="0">
                  <c:v>25</c:v>
                </c:pt>
                <c:pt idx="1">
                  <c:v>5</c:v>
                </c:pt>
                <c:pt idx="2">
                  <c:v>6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8-43D0-AF58-3425E1255ED6}"/>
            </c:ext>
          </c:extLst>
        </c:ser>
        <c:ser>
          <c:idx val="1"/>
          <c:order val="1"/>
          <c:tx>
            <c:strRef>
              <c:f>Business_Statistics!$V$21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Business_Statistics!$T$22:$T$26</c:f>
              <c:strCache>
                <c:ptCount val="5"/>
                <c:pt idx="0">
                  <c:v>Feb-2025</c:v>
                </c:pt>
                <c:pt idx="1">
                  <c:v>Mar-2025</c:v>
                </c:pt>
                <c:pt idx="2">
                  <c:v>Apr-2025</c:v>
                </c:pt>
                <c:pt idx="3">
                  <c:v>May-2025</c:v>
                </c:pt>
                <c:pt idx="4">
                  <c:v>Jun-2025</c:v>
                </c:pt>
              </c:strCache>
            </c:strRef>
          </c:cat>
          <c:val>
            <c:numRef>
              <c:f>Business_Statistics!$V$22:$V$26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10</c:v>
                </c:pt>
                <c:pt idx="3">
                  <c:v>14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8-43D0-AF58-3425E1255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784719"/>
        <c:axId val="128782799"/>
      </c:barChart>
      <c:catAx>
        <c:axId val="128784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 - 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2799"/>
        <c:crosses val="autoZero"/>
        <c:auto val="1"/>
        <c:lblAlgn val="ctr"/>
        <c:lblOffset val="100"/>
        <c:noMultiLvlLbl val="0"/>
      </c:catAx>
      <c:valAx>
        <c:axId val="12878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78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Trend Analysis - Beauty (New vs Repeat)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Business_Statistics!$U$29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Business_Statistics!$T$30:$T$41</c:f>
              <c:strCache>
                <c:ptCount val="12"/>
                <c:pt idx="0">
                  <c:v>Jul-2024</c:v>
                </c:pt>
                <c:pt idx="1">
                  <c:v>Aug-2024</c:v>
                </c:pt>
                <c:pt idx="2">
                  <c:v>Sep-2024</c:v>
                </c:pt>
                <c:pt idx="3">
                  <c:v>Oct-2024</c:v>
                </c:pt>
                <c:pt idx="4">
                  <c:v>Nov-2024</c:v>
                </c:pt>
                <c:pt idx="5">
                  <c:v>Dec-2024</c:v>
                </c:pt>
                <c:pt idx="6">
                  <c:v>Jan-2025</c:v>
                </c:pt>
                <c:pt idx="7">
                  <c:v>Feb-2025</c:v>
                </c:pt>
                <c:pt idx="8">
                  <c:v>Mar-2025</c:v>
                </c:pt>
                <c:pt idx="9">
                  <c:v>Apr-2025</c:v>
                </c:pt>
                <c:pt idx="10">
                  <c:v>May-2025</c:v>
                </c:pt>
                <c:pt idx="11">
                  <c:v>Jun-2025</c:v>
                </c:pt>
              </c:strCache>
            </c:strRef>
          </c:cat>
          <c:val>
            <c:numRef>
              <c:f>Business_Statistics!$U$30:$U$41</c:f>
              <c:numCache>
                <c:formatCode>General</c:formatCode>
                <c:ptCount val="12"/>
                <c:pt idx="0">
                  <c:v>7</c:v>
                </c:pt>
                <c:pt idx="1">
                  <c:v>11</c:v>
                </c:pt>
                <c:pt idx="2">
                  <c:v>10</c:v>
                </c:pt>
                <c:pt idx="3">
                  <c:v>8</c:v>
                </c:pt>
                <c:pt idx="4">
                  <c:v>11</c:v>
                </c:pt>
                <c:pt idx="5">
                  <c:v>4</c:v>
                </c:pt>
                <c:pt idx="6">
                  <c:v>7</c:v>
                </c:pt>
                <c:pt idx="7">
                  <c:v>4</c:v>
                </c:pt>
                <c:pt idx="8">
                  <c:v>8</c:v>
                </c:pt>
                <c:pt idx="9">
                  <c:v>9</c:v>
                </c:pt>
                <c:pt idx="10">
                  <c:v>4</c:v>
                </c:pt>
                <c:pt idx="1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4A-48F9-A8ED-A726A4B638A5}"/>
            </c:ext>
          </c:extLst>
        </c:ser>
        <c:ser>
          <c:idx val="1"/>
          <c:order val="1"/>
          <c:tx>
            <c:strRef>
              <c:f>Business_Statistics!$V$29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Business_Statistics!$T$30:$T$41</c:f>
              <c:strCache>
                <c:ptCount val="12"/>
                <c:pt idx="0">
                  <c:v>Jul-2024</c:v>
                </c:pt>
                <c:pt idx="1">
                  <c:v>Aug-2024</c:v>
                </c:pt>
                <c:pt idx="2">
                  <c:v>Sep-2024</c:v>
                </c:pt>
                <c:pt idx="3">
                  <c:v>Oct-2024</c:v>
                </c:pt>
                <c:pt idx="4">
                  <c:v>Nov-2024</c:v>
                </c:pt>
                <c:pt idx="5">
                  <c:v>Dec-2024</c:v>
                </c:pt>
                <c:pt idx="6">
                  <c:v>Jan-2025</c:v>
                </c:pt>
                <c:pt idx="7">
                  <c:v>Feb-2025</c:v>
                </c:pt>
                <c:pt idx="8">
                  <c:v>Mar-2025</c:v>
                </c:pt>
                <c:pt idx="9">
                  <c:v>Apr-2025</c:v>
                </c:pt>
                <c:pt idx="10">
                  <c:v>May-2025</c:v>
                </c:pt>
                <c:pt idx="11">
                  <c:v>Jun-2025</c:v>
                </c:pt>
              </c:strCache>
            </c:strRef>
          </c:cat>
          <c:val>
            <c:numRef>
              <c:f>Business_Statistics!$V$30:$V$41</c:f>
              <c:numCache>
                <c:formatCode>General</c:formatCode>
                <c:ptCount val="12"/>
                <c:pt idx="0">
                  <c:v>32</c:v>
                </c:pt>
                <c:pt idx="1">
                  <c:v>48</c:v>
                </c:pt>
                <c:pt idx="2">
                  <c:v>38</c:v>
                </c:pt>
                <c:pt idx="3">
                  <c:v>36</c:v>
                </c:pt>
                <c:pt idx="4">
                  <c:v>32</c:v>
                </c:pt>
                <c:pt idx="5">
                  <c:v>26</c:v>
                </c:pt>
                <c:pt idx="6">
                  <c:v>51</c:v>
                </c:pt>
                <c:pt idx="7">
                  <c:v>33</c:v>
                </c:pt>
                <c:pt idx="8">
                  <c:v>26</c:v>
                </c:pt>
                <c:pt idx="9">
                  <c:v>47</c:v>
                </c:pt>
                <c:pt idx="10">
                  <c:v>26</c:v>
                </c:pt>
                <c:pt idx="1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4A-48F9-A8ED-A726A4B638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9196655"/>
        <c:axId val="1579204335"/>
      </c:barChart>
      <c:catAx>
        <c:axId val="15791966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  <a:r>
                  <a:rPr lang="en-IN" baseline="0"/>
                  <a:t>-Year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04335"/>
        <c:crosses val="autoZero"/>
        <c:auto val="1"/>
        <c:lblAlgn val="ctr"/>
        <c:lblOffset val="100"/>
        <c:noMultiLvlLbl val="0"/>
      </c:catAx>
      <c:valAx>
        <c:axId val="157920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</a:t>
                </a:r>
                <a:r>
                  <a:rPr lang="en-IN" baseline="0"/>
                  <a:t> Count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19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Customer Revenue by Category (New vs Repeat)</a:t>
            </a:r>
            <a:endParaRPr lang="en-IN"/>
          </a:p>
        </c:rich>
      </c:tx>
      <c:layout>
        <c:manualLayout>
          <c:xMode val="edge"/>
          <c:yMode val="edge"/>
          <c:x val="0.10780907318457676"/>
          <c:y val="2.25503485360562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Business_Statistics!$I$32</c:f>
              <c:strCache>
                <c:ptCount val="1"/>
                <c:pt idx="0">
                  <c:v>Beauty service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Business_Statistics!$J$31:$K$31</c:f>
              <c:strCache>
                <c:ptCount val="2"/>
                <c:pt idx="0">
                  <c:v>New</c:v>
                </c:pt>
                <c:pt idx="1">
                  <c:v>Repeat</c:v>
                </c:pt>
              </c:strCache>
            </c:strRef>
          </c:cat>
          <c:val>
            <c:numRef>
              <c:f>Business_Statistics!$J$32:$K$32</c:f>
              <c:numCache>
                <c:formatCode>General</c:formatCode>
                <c:ptCount val="2"/>
                <c:pt idx="0">
                  <c:v>34730</c:v>
                </c:pt>
                <c:pt idx="1">
                  <c:v>180050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D-49AE-8215-60C5E7410201}"/>
            </c:ext>
          </c:extLst>
        </c:ser>
        <c:ser>
          <c:idx val="1"/>
          <c:order val="1"/>
          <c:tx>
            <c:strRef>
              <c:f>Business_Statistics!$I$33</c:f>
              <c:strCache>
                <c:ptCount val="1"/>
                <c:pt idx="0">
                  <c:v>Tailoring service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Business_Statistics!$J$31:$K$31</c:f>
              <c:strCache>
                <c:ptCount val="2"/>
                <c:pt idx="0">
                  <c:v>New</c:v>
                </c:pt>
                <c:pt idx="1">
                  <c:v>Repeat</c:v>
                </c:pt>
              </c:strCache>
            </c:strRef>
          </c:cat>
          <c:val>
            <c:numRef>
              <c:f>Business_Statistics!$J$33:$K$33</c:f>
              <c:numCache>
                <c:formatCode>General</c:formatCode>
                <c:ptCount val="2"/>
                <c:pt idx="0">
                  <c:v>23475</c:v>
                </c:pt>
                <c:pt idx="1">
                  <c:v>15955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7D-49AE-8215-60C5E741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882207"/>
        <c:axId val="1577879807"/>
      </c:barChart>
      <c:catAx>
        <c:axId val="1577882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79807"/>
        <c:crosses val="autoZero"/>
        <c:auto val="1"/>
        <c:lblAlgn val="ctr"/>
        <c:lblOffset val="100"/>
        <c:noMultiLvlLbl val="0"/>
      </c:catAx>
      <c:valAx>
        <c:axId val="15778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Revenue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88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Beauty Services by New vs Repeat Customers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Business_Statistics!$AA$2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Business_Statistics!$Z$3:$Z$7</c:f>
              <c:strCache>
                <c:ptCount val="5"/>
                <c:pt idx="0">
                  <c:v>Eyebrow Threading</c:v>
                </c:pt>
                <c:pt idx="1">
                  <c:v>EBS</c:v>
                </c:pt>
                <c:pt idx="2">
                  <c:v>Saree prepleat</c:v>
                </c:pt>
                <c:pt idx="3">
                  <c:v>Golden Facial</c:v>
                </c:pt>
                <c:pt idx="4">
                  <c:v>Hair coloring</c:v>
                </c:pt>
              </c:strCache>
            </c:strRef>
          </c:cat>
          <c:val>
            <c:numRef>
              <c:f>Business_Statistics!$AA$3:$AA$7</c:f>
              <c:numCache>
                <c:formatCode>General</c:formatCode>
                <c:ptCount val="5"/>
                <c:pt idx="0">
                  <c:v>48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8-4033-935E-6B4C1BDB8EA2}"/>
            </c:ext>
          </c:extLst>
        </c:ser>
        <c:ser>
          <c:idx val="1"/>
          <c:order val="1"/>
          <c:tx>
            <c:strRef>
              <c:f>Business_Statistics!$AB$2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Business_Statistics!$Z$3:$Z$7</c:f>
              <c:strCache>
                <c:ptCount val="5"/>
                <c:pt idx="0">
                  <c:v>Eyebrow Threading</c:v>
                </c:pt>
                <c:pt idx="1">
                  <c:v>EBS</c:v>
                </c:pt>
                <c:pt idx="2">
                  <c:v>Saree prepleat</c:v>
                </c:pt>
                <c:pt idx="3">
                  <c:v>Golden Facial</c:v>
                </c:pt>
                <c:pt idx="4">
                  <c:v>Hair coloring</c:v>
                </c:pt>
              </c:strCache>
            </c:strRef>
          </c:cat>
          <c:val>
            <c:numRef>
              <c:f>Business_Statistics!$AB$3:$AB$7</c:f>
              <c:numCache>
                <c:formatCode>General</c:formatCode>
                <c:ptCount val="5"/>
                <c:pt idx="0">
                  <c:v>151</c:v>
                </c:pt>
                <c:pt idx="1">
                  <c:v>41</c:v>
                </c:pt>
                <c:pt idx="2">
                  <c:v>13</c:v>
                </c:pt>
                <c:pt idx="3">
                  <c:v>5</c:v>
                </c:pt>
                <c:pt idx="4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8-4033-935E-6B4C1BDB8E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5123503"/>
        <c:axId val="275133583"/>
      </c:barChart>
      <c:catAx>
        <c:axId val="275123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Beauty</a:t>
                </a:r>
                <a:r>
                  <a:rPr lang="en-IN" baseline="0"/>
                  <a:t> services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33583"/>
        <c:crosses val="autoZero"/>
        <c:auto val="1"/>
        <c:lblAlgn val="ctr"/>
        <c:lblOffset val="100"/>
        <c:noMultiLvlLbl val="0"/>
      </c:catAx>
      <c:valAx>
        <c:axId val="27513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services availed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512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Top Tailoring Services by New vs Repeat Customers</a:t>
            </a:r>
            <a:endParaRPr lang="en-IN"/>
          </a:p>
        </c:rich>
      </c:tx>
      <c:layout>
        <c:manualLayout>
          <c:xMode val="edge"/>
          <c:yMode val="edge"/>
          <c:x val="0.17470844269466318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Business_Statistics!$AF$2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Business_Statistics!$AE$3:$AE$7</c:f>
              <c:strCache>
                <c:ptCount val="5"/>
                <c:pt idx="0">
                  <c:v>Alteration work</c:v>
                </c:pt>
                <c:pt idx="1">
                  <c:v>Saree Oram</c:v>
                </c:pt>
                <c:pt idx="2">
                  <c:v>Blouse</c:v>
                </c:pt>
                <c:pt idx="3">
                  <c:v>Sleeve</c:v>
                </c:pt>
                <c:pt idx="4">
                  <c:v>Aari Blouse  </c:v>
                </c:pt>
              </c:strCache>
            </c:strRef>
          </c:cat>
          <c:val>
            <c:numRef>
              <c:f>Business_Statistics!$AF$3:$AF$7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A-4975-B18B-72769FA79B82}"/>
            </c:ext>
          </c:extLst>
        </c:ser>
        <c:ser>
          <c:idx val="1"/>
          <c:order val="1"/>
          <c:tx>
            <c:strRef>
              <c:f>Business_Statistics!$AG$2</c:f>
              <c:strCache>
                <c:ptCount val="1"/>
                <c:pt idx="0">
                  <c:v>Repeat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Business_Statistics!$AE$3:$AE$7</c:f>
              <c:strCache>
                <c:ptCount val="5"/>
                <c:pt idx="0">
                  <c:v>Alteration work</c:v>
                </c:pt>
                <c:pt idx="1">
                  <c:v>Saree Oram</c:v>
                </c:pt>
                <c:pt idx="2">
                  <c:v>Blouse</c:v>
                </c:pt>
                <c:pt idx="3">
                  <c:v>Sleeve</c:v>
                </c:pt>
                <c:pt idx="4">
                  <c:v>Aari Blouse  </c:v>
                </c:pt>
              </c:strCache>
            </c:strRef>
          </c:cat>
          <c:val>
            <c:numRef>
              <c:f>Business_Statistics!$AG$3:$AG$7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13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A-4975-B18B-72769FA79B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1770383"/>
        <c:axId val="281773743"/>
      </c:barChart>
      <c:catAx>
        <c:axId val="281770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Tailoring</a:t>
                </a:r>
                <a:r>
                  <a:rPr lang="en-IN" baseline="0"/>
                  <a:t> Service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73743"/>
        <c:crosses val="autoZero"/>
        <c:auto val="1"/>
        <c:lblAlgn val="ctr"/>
        <c:lblOffset val="100"/>
        <c:noMultiLvlLbl val="0"/>
      </c:catAx>
      <c:valAx>
        <c:axId val="28177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services avalied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770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Pareto Analysis – Beauty Services (2024–2025)</a:t>
            </a:r>
            <a:endParaRPr lang="en-IN"/>
          </a:p>
        </c:rich>
      </c:tx>
      <c:layout>
        <c:manualLayout>
          <c:xMode val="edge"/>
          <c:yMode val="edge"/>
          <c:x val="0.19267345268886354"/>
          <c:y val="2.26463946761357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Business_Statistics!$F$2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Business_Statistics!$D$3:$D$21</c:f>
              <c:strCache>
                <c:ptCount val="19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</c:strCache>
            </c:strRef>
          </c:cat>
          <c:val>
            <c:numRef>
              <c:f>Business_Statistics!$F$3:$F$21</c:f>
              <c:numCache>
                <c:formatCode>0.00%</c:formatCode>
                <c:ptCount val="19"/>
                <c:pt idx="0">
                  <c:v>0.18786665425086135</c:v>
                </c:pt>
                <c:pt idx="1">
                  <c:v>6.4344911071794395E-2</c:v>
                </c:pt>
                <c:pt idx="2">
                  <c:v>5.6476394450135019E-2</c:v>
                </c:pt>
                <c:pt idx="3">
                  <c:v>4.5441847471831644E-2</c:v>
                </c:pt>
                <c:pt idx="4">
                  <c:v>4.4231306453114815E-2</c:v>
                </c:pt>
                <c:pt idx="5">
                  <c:v>4.1437750256075982E-2</c:v>
                </c:pt>
                <c:pt idx="6">
                  <c:v>3.4919452462985383E-2</c:v>
                </c:pt>
                <c:pt idx="7">
                  <c:v>3.2824285315206259E-2</c:v>
                </c:pt>
                <c:pt idx="8">
                  <c:v>3.2591488965453025E-2</c:v>
                </c:pt>
                <c:pt idx="9">
                  <c:v>3.2544929695502371E-2</c:v>
                </c:pt>
                <c:pt idx="10">
                  <c:v>3.1799981376292016E-2</c:v>
                </c:pt>
                <c:pt idx="11">
                  <c:v>3.0030729118167426E-2</c:v>
                </c:pt>
                <c:pt idx="12">
                  <c:v>2.6771580221622127E-2</c:v>
                </c:pt>
                <c:pt idx="13">
                  <c:v>2.4676413073843002E-2</c:v>
                </c:pt>
                <c:pt idx="14">
                  <c:v>2.4536735263991062E-2</c:v>
                </c:pt>
                <c:pt idx="15">
                  <c:v>2.4024583294533941E-2</c:v>
                </c:pt>
                <c:pt idx="16">
                  <c:v>2.3279634975323586E-2</c:v>
                </c:pt>
                <c:pt idx="17">
                  <c:v>1.9554893379271812E-2</c:v>
                </c:pt>
                <c:pt idx="18">
                  <c:v>1.9461774839370519E-2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3-4F3F-92C9-413F2253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316799"/>
        <c:axId val="276317279"/>
      </c:barChart>
      <c:lineChart>
        <c:grouping val="standard"/>
        <c:varyColors val="0"/>
        <c:ser>
          <c:idx val="1"/>
          <c:order val="1"/>
          <c:tx>
            <c:strRef>
              <c:f>Business_Statistics!$G$2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Business_Statistics!$D$3:$D$21</c:f>
              <c:strCache>
                <c:ptCount val="19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</c:strCache>
            </c:strRef>
          </c:cat>
          <c:val>
            <c:numRef>
              <c:f>Business_Statistics!$G$3:$G$21</c:f>
              <c:numCache>
                <c:formatCode>0.00%</c:formatCode>
                <c:ptCount val="19"/>
                <c:pt idx="0">
                  <c:v>0.18786665425086135</c:v>
                </c:pt>
                <c:pt idx="1">
                  <c:v>0.25221156532265576</c:v>
                </c:pt>
                <c:pt idx="2">
                  <c:v>0.30868795977279079</c:v>
                </c:pt>
                <c:pt idx="3">
                  <c:v>0.35412980724462245</c:v>
                </c:pt>
                <c:pt idx="4">
                  <c:v>0.39836111369773725</c:v>
                </c:pt>
                <c:pt idx="5">
                  <c:v>0.43979886395381323</c:v>
                </c:pt>
                <c:pt idx="6">
                  <c:v>0.47471831641679862</c:v>
                </c:pt>
                <c:pt idx="7">
                  <c:v>0.50754260173200483</c:v>
                </c:pt>
                <c:pt idx="8">
                  <c:v>0.54013409069745788</c:v>
                </c:pt>
                <c:pt idx="9">
                  <c:v>0.57267902039296026</c:v>
                </c:pt>
                <c:pt idx="10">
                  <c:v>0.60447900176925229</c:v>
                </c:pt>
                <c:pt idx="11">
                  <c:v>0.63450973088741969</c:v>
                </c:pt>
                <c:pt idx="12">
                  <c:v>0.66128131110904187</c:v>
                </c:pt>
                <c:pt idx="13">
                  <c:v>0.68595772418288492</c:v>
                </c:pt>
                <c:pt idx="14">
                  <c:v>0.71049445944687595</c:v>
                </c:pt>
                <c:pt idx="15">
                  <c:v>0.73451904274140989</c:v>
                </c:pt>
                <c:pt idx="16">
                  <c:v>0.75779867771673348</c:v>
                </c:pt>
                <c:pt idx="17">
                  <c:v>0.77735357109600534</c:v>
                </c:pt>
                <c:pt idx="18">
                  <c:v>0.79681534593537584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53-4F3F-92C9-413F22538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9604767"/>
        <c:axId val="399606687"/>
      </c:lineChart>
      <c:catAx>
        <c:axId val="276316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17279"/>
        <c:crosses val="autoZero"/>
        <c:auto val="1"/>
        <c:lblAlgn val="ctr"/>
        <c:lblOffset val="100"/>
        <c:noMultiLvlLbl val="0"/>
      </c:catAx>
      <c:valAx>
        <c:axId val="2763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% of Total Revenue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316799"/>
        <c:crosses val="autoZero"/>
        <c:crossBetween val="between"/>
      </c:valAx>
      <c:valAx>
        <c:axId val="39960668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Cumulative Revenue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9604767"/>
        <c:crosses val="max"/>
        <c:crossBetween val="between"/>
      </c:valAx>
      <c:catAx>
        <c:axId val="39960476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960668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Analysis – Tailoring Services (FEB - JUNE)2025</a:t>
            </a:r>
          </a:p>
        </c:rich>
      </c:tx>
      <c:layout>
        <c:manualLayout>
          <c:xMode val="edge"/>
          <c:yMode val="edge"/>
          <c:x val="0.15908902220377263"/>
          <c:y val="2.86981491388578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Business_Statistics!$K$2</c:f>
              <c:strCache>
                <c:ptCount val="1"/>
                <c:pt idx="0">
                  <c:v>% of 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Business_Statistics!$I$3:$I$16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Business_Statistics!$K$3:$K$16</c:f>
              <c:numCache>
                <c:formatCode>0.00%</c:formatCode>
                <c:ptCount val="14"/>
                <c:pt idx="0">
                  <c:v>0.38549327922901344</c:v>
                </c:pt>
                <c:pt idx="1">
                  <c:v>0.16091808267816385</c:v>
                </c:pt>
                <c:pt idx="2">
                  <c:v>0.13948769972102459</c:v>
                </c:pt>
                <c:pt idx="3">
                  <c:v>6.7207709865584581E-2</c:v>
                </c:pt>
                <c:pt idx="4">
                  <c:v>5.097641389804717E-2</c:v>
                </c:pt>
                <c:pt idx="5">
                  <c:v>4.0578239918843517E-2</c:v>
                </c:pt>
                <c:pt idx="6">
                  <c:v>2.662946994674106E-2</c:v>
                </c:pt>
                <c:pt idx="7">
                  <c:v>2.5361399949277202E-2</c:v>
                </c:pt>
                <c:pt idx="8">
                  <c:v>2.5361399949277202E-2</c:v>
                </c:pt>
                <c:pt idx="9">
                  <c:v>2.409332995181334E-2</c:v>
                </c:pt>
                <c:pt idx="10">
                  <c:v>1.9781891960436216E-2</c:v>
                </c:pt>
                <c:pt idx="11">
                  <c:v>1.7499365965001269E-2</c:v>
                </c:pt>
                <c:pt idx="12">
                  <c:v>1.0144559979710879E-2</c:v>
                </c:pt>
                <c:pt idx="13">
                  <c:v>6.4671569870656861E-3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A-448F-A53B-BD36997C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307551"/>
        <c:axId val="104304671"/>
      </c:barChart>
      <c:lineChart>
        <c:grouping val="standard"/>
        <c:varyColors val="0"/>
        <c:ser>
          <c:idx val="1"/>
          <c:order val="1"/>
          <c:tx>
            <c:strRef>
              <c:f>Business_Statistics!$L$2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Business_Statistics!$I$3:$I$16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Business_Statistics!$L$3:$L$16</c:f>
              <c:numCache>
                <c:formatCode>0.00%</c:formatCode>
                <c:ptCount val="14"/>
                <c:pt idx="0">
                  <c:v>0.38549327922901344</c:v>
                </c:pt>
                <c:pt idx="1">
                  <c:v>0.54641136190717732</c:v>
                </c:pt>
                <c:pt idx="2">
                  <c:v>0.68589906162820191</c:v>
                </c:pt>
                <c:pt idx="3">
                  <c:v>0.75310677149378646</c:v>
                </c:pt>
                <c:pt idx="4">
                  <c:v>0.80408318539183365</c:v>
                </c:pt>
                <c:pt idx="5">
                  <c:v>0.84466142531067723</c:v>
                </c:pt>
                <c:pt idx="6">
                  <c:v>0.87129089525741832</c:v>
                </c:pt>
                <c:pt idx="7">
                  <c:v>0.89665229520669554</c:v>
                </c:pt>
                <c:pt idx="8">
                  <c:v>0.92201369515597276</c:v>
                </c:pt>
                <c:pt idx="9">
                  <c:v>0.9461070251077861</c:v>
                </c:pt>
                <c:pt idx="10">
                  <c:v>0.96588891706822233</c:v>
                </c:pt>
                <c:pt idx="11">
                  <c:v>0.98338828303322356</c:v>
                </c:pt>
                <c:pt idx="12">
                  <c:v>0.99353284301293443</c:v>
                </c:pt>
                <c:pt idx="13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A-448F-A53B-BD36997C0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375023"/>
        <c:axId val="131373103"/>
      </c:lineChart>
      <c:catAx>
        <c:axId val="104307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4671"/>
        <c:crosses val="autoZero"/>
        <c:auto val="1"/>
        <c:lblAlgn val="ctr"/>
        <c:lblOffset val="100"/>
        <c:noMultiLvlLbl val="0"/>
      </c:catAx>
      <c:valAx>
        <c:axId val="10430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% of 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07551"/>
        <c:crosses val="autoZero"/>
        <c:crossBetween val="between"/>
      </c:valAx>
      <c:valAx>
        <c:axId val="13137310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Cumulative Revenue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75023"/>
        <c:crosses val="max"/>
        <c:crossBetween val="between"/>
      </c:valAx>
      <c:catAx>
        <c:axId val="1313750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373103"/>
        <c:crossesAt val="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Bargained services ( Beauty)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Business_Statistics!$AL$2</c:f>
              <c:strCache>
                <c:ptCount val="1"/>
                <c:pt idx="0">
                  <c:v>Below Min(Bargain)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Business_Statistics!$AJ$3:$AJ$12</c:f>
              <c:strCache>
                <c:ptCount val="10"/>
                <c:pt idx="0">
                  <c:v>Eyebrow Threading</c:v>
                </c:pt>
                <c:pt idx="1">
                  <c:v>Hair coloring</c:v>
                </c:pt>
                <c:pt idx="2">
                  <c:v>Color apply</c:v>
                </c:pt>
                <c:pt idx="3">
                  <c:v>Layer cut</c:v>
                </c:pt>
                <c:pt idx="4">
                  <c:v>De-tan Facial</c:v>
                </c:pt>
                <c:pt idx="5">
                  <c:v>Cleanup</c:v>
                </c:pt>
                <c:pt idx="6">
                  <c:v>Golden Facial</c:v>
                </c:pt>
                <c:pt idx="7">
                  <c:v>Bleach</c:v>
                </c:pt>
                <c:pt idx="8">
                  <c:v>Wine Facial</c:v>
                </c:pt>
                <c:pt idx="9">
                  <c:v>Fruit Facial</c:v>
                </c:pt>
              </c:strCache>
            </c:strRef>
          </c:cat>
          <c:val>
            <c:numRef>
              <c:f>Business_Statistics!$AL$3:$AL$12</c:f>
              <c:numCache>
                <c:formatCode>General</c:formatCode>
                <c:ptCount val="10"/>
                <c:pt idx="0">
                  <c:v>79</c:v>
                </c:pt>
                <c:pt idx="1">
                  <c:v>29</c:v>
                </c:pt>
                <c:pt idx="2">
                  <c:v>12</c:v>
                </c:pt>
                <c:pt idx="3">
                  <c:v>12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5F-403F-977C-FB5422BB33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233631"/>
        <c:axId val="200238431"/>
      </c:barChart>
      <c:catAx>
        <c:axId val="200233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8431"/>
        <c:crosses val="autoZero"/>
        <c:auto val="1"/>
        <c:lblAlgn val="ctr"/>
        <c:lblOffset val="100"/>
        <c:noMultiLvlLbl val="0"/>
      </c:catAx>
      <c:valAx>
        <c:axId val="20023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  <a:r>
                  <a:rPr lang="en-IN" baseline="0"/>
                  <a:t> of bargained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233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[BDM offcial data set.xlsx]Business_Statistics!PivotTable12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Loss (Beauty and Tailoring)</a:t>
            </a:r>
          </a:p>
        </c:rich>
      </c:tx>
      <c:layout>
        <c:manualLayout>
          <c:xMode val="edge"/>
          <c:yMode val="edge"/>
          <c:x val="0.24773600174978128"/>
          <c:y val="9.15718868474773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Business_Statistics!$AF$38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Business_Statistics!$AE$39:$AE$41</c:f>
              <c:strCache>
                <c:ptCount val="2"/>
                <c:pt idx="0">
                  <c:v>Beauty service</c:v>
                </c:pt>
                <c:pt idx="1">
                  <c:v>Tailoring service</c:v>
                </c:pt>
              </c:strCache>
            </c:strRef>
          </c:cat>
          <c:val>
            <c:numRef>
              <c:f>Business_Statistics!$AF$39:$AF$41</c:f>
              <c:numCache>
                <c:formatCode>General</c:formatCode>
                <c:ptCount val="2"/>
                <c:pt idx="0">
                  <c:v>32070</c:v>
                </c:pt>
                <c:pt idx="1">
                  <c:v>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E-4086-9641-4EEDAF06FB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0845487"/>
        <c:axId val="470855567"/>
      </c:barChart>
      <c:catAx>
        <c:axId val="470845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55567"/>
        <c:crosses val="autoZero"/>
        <c:auto val="1"/>
        <c:lblAlgn val="ctr"/>
        <c:lblOffset val="100"/>
        <c:noMultiLvlLbl val="0"/>
      </c:catAx>
      <c:valAx>
        <c:axId val="47085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  <a:r>
                  <a:rPr lang="en-IN" baseline="0"/>
                  <a:t> loss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84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Pareto Analysis – Beauty Services (2024–2025)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Business_Statistics!$E$2</c:f>
              <c:strCache>
                <c:ptCount val="1"/>
                <c:pt idx="0">
                  <c:v>Absolute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Business_Statistics!$D$3:$D$45</c:f>
              <c:strCache>
                <c:ptCount val="43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  <c:pt idx="19">
                  <c:v>Simple Makeup</c:v>
                </c:pt>
                <c:pt idx="20">
                  <c:v>Party Makeup</c:v>
                </c:pt>
                <c:pt idx="21">
                  <c:v>Hair SPA</c:v>
                </c:pt>
                <c:pt idx="22">
                  <c:v>Green Tea Facial</c:v>
                </c:pt>
                <c:pt idx="23">
                  <c:v>Saree drape</c:v>
                </c:pt>
                <c:pt idx="24">
                  <c:v>Bridal Facial</c:v>
                </c:pt>
                <c:pt idx="25">
                  <c:v>U cut</c:v>
                </c:pt>
                <c:pt idx="26">
                  <c:v>Head Massage</c:v>
                </c:pt>
                <c:pt idx="27">
                  <c:v>Hair coloring full</c:v>
                </c:pt>
                <c:pt idx="28">
                  <c:v>Lice treatment</c:v>
                </c:pt>
                <c:pt idx="29">
                  <c:v>Basic cut</c:v>
                </c:pt>
                <c:pt idx="30">
                  <c:v>Straight cut</c:v>
                </c:pt>
                <c:pt idx="31">
                  <c:v>Hand Wax</c:v>
                </c:pt>
                <c:pt idx="32">
                  <c:v>Face Wax</c:v>
                </c:pt>
                <c:pt idx="33">
                  <c:v>Butterfly cut</c:v>
                </c:pt>
                <c:pt idx="34">
                  <c:v>Pedicure</c:v>
                </c:pt>
                <c:pt idx="35">
                  <c:v>Straightening</c:v>
                </c:pt>
                <c:pt idx="36">
                  <c:v>Feather cut</c:v>
                </c:pt>
                <c:pt idx="37">
                  <c:v>Baby cut</c:v>
                </c:pt>
                <c:pt idx="38">
                  <c:v>Full Arms Wax</c:v>
                </c:pt>
                <c:pt idx="39">
                  <c:v>Smoothening</c:v>
                </c:pt>
                <c:pt idx="40">
                  <c:v>Ear piercing</c:v>
                </c:pt>
                <c:pt idx="41">
                  <c:v>Under Arm Wax</c:v>
                </c:pt>
                <c:pt idx="42">
                  <c:v>Blowdry</c:v>
                </c:pt>
              </c:strCache>
            </c:strRef>
          </c:cat>
          <c:val>
            <c:numRef>
              <c:f>Business_Statistics!$E$3:$E$45</c:f>
              <c:numCache>
                <c:formatCode>"₹"\ #,##0.00</c:formatCode>
                <c:ptCount val="43"/>
                <c:pt idx="0">
                  <c:v>40350</c:v>
                </c:pt>
                <c:pt idx="1">
                  <c:v>13820</c:v>
                </c:pt>
                <c:pt idx="2">
                  <c:v>12130</c:v>
                </c:pt>
                <c:pt idx="3">
                  <c:v>9760</c:v>
                </c:pt>
                <c:pt idx="4">
                  <c:v>9500</c:v>
                </c:pt>
                <c:pt idx="5">
                  <c:v>8900</c:v>
                </c:pt>
                <c:pt idx="6">
                  <c:v>7500.0000000000009</c:v>
                </c:pt>
                <c:pt idx="7">
                  <c:v>7050</c:v>
                </c:pt>
                <c:pt idx="8">
                  <c:v>7000.0000000000009</c:v>
                </c:pt>
                <c:pt idx="9">
                  <c:v>6989.9999999999991</c:v>
                </c:pt>
                <c:pt idx="10">
                  <c:v>6829.9999999999991</c:v>
                </c:pt>
                <c:pt idx="11">
                  <c:v>6450</c:v>
                </c:pt>
                <c:pt idx="12">
                  <c:v>5750</c:v>
                </c:pt>
                <c:pt idx="13">
                  <c:v>5300</c:v>
                </c:pt>
                <c:pt idx="14">
                  <c:v>5270</c:v>
                </c:pt>
                <c:pt idx="15">
                  <c:v>5160</c:v>
                </c:pt>
                <c:pt idx="16">
                  <c:v>5000</c:v>
                </c:pt>
                <c:pt idx="17">
                  <c:v>4200</c:v>
                </c:pt>
                <c:pt idx="18">
                  <c:v>4180</c:v>
                </c:pt>
                <c:pt idx="19">
                  <c:v>3900.0000000000005</c:v>
                </c:pt>
                <c:pt idx="20">
                  <c:v>3600</c:v>
                </c:pt>
                <c:pt idx="21">
                  <c:v>3569.9999999999995</c:v>
                </c:pt>
                <c:pt idx="22">
                  <c:v>3200</c:v>
                </c:pt>
                <c:pt idx="23">
                  <c:v>2900</c:v>
                </c:pt>
                <c:pt idx="24">
                  <c:v>2760</c:v>
                </c:pt>
                <c:pt idx="25">
                  <c:v>2710</c:v>
                </c:pt>
                <c:pt idx="26">
                  <c:v>2670</c:v>
                </c:pt>
                <c:pt idx="27">
                  <c:v>2600</c:v>
                </c:pt>
                <c:pt idx="28">
                  <c:v>2000</c:v>
                </c:pt>
                <c:pt idx="29">
                  <c:v>1800</c:v>
                </c:pt>
                <c:pt idx="30">
                  <c:v>1770</c:v>
                </c:pt>
                <c:pt idx="31">
                  <c:v>1750.0000000000002</c:v>
                </c:pt>
                <c:pt idx="32">
                  <c:v>1460</c:v>
                </c:pt>
                <c:pt idx="33">
                  <c:v>1160</c:v>
                </c:pt>
                <c:pt idx="34">
                  <c:v>1100</c:v>
                </c:pt>
                <c:pt idx="35">
                  <c:v>900</c:v>
                </c:pt>
                <c:pt idx="36">
                  <c:v>800</c:v>
                </c:pt>
                <c:pt idx="37">
                  <c:v>670</c:v>
                </c:pt>
                <c:pt idx="38">
                  <c:v>650</c:v>
                </c:pt>
                <c:pt idx="39">
                  <c:v>620</c:v>
                </c:pt>
                <c:pt idx="40">
                  <c:v>600</c:v>
                </c:pt>
                <c:pt idx="41">
                  <c:v>250</c:v>
                </c:pt>
                <c:pt idx="4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7-41C0-990D-AA44A6D0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2699456"/>
        <c:axId val="1092700416"/>
      </c:barChart>
      <c:lineChart>
        <c:grouping val="standard"/>
        <c:varyColors val="0"/>
        <c:ser>
          <c:idx val="1"/>
          <c:order val="1"/>
          <c:tx>
            <c:strRef>
              <c:f>Business_Statistics!$G$2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Business_Statistics!$D$3:$D$45</c:f>
              <c:strCache>
                <c:ptCount val="43"/>
                <c:pt idx="0">
                  <c:v>Hair coloring</c:v>
                </c:pt>
                <c:pt idx="1">
                  <c:v>Eyebrow Threading</c:v>
                </c:pt>
                <c:pt idx="2">
                  <c:v>Layer cut</c:v>
                </c:pt>
                <c:pt idx="3">
                  <c:v>Color apply</c:v>
                </c:pt>
                <c:pt idx="4">
                  <c:v>Golden Facial</c:v>
                </c:pt>
                <c:pt idx="5">
                  <c:v>Whitening Facial</c:v>
                </c:pt>
                <c:pt idx="6">
                  <c:v>Baby Shower Makeup</c:v>
                </c:pt>
                <c:pt idx="7">
                  <c:v>De-tan Facial</c:v>
                </c:pt>
                <c:pt idx="8">
                  <c:v>Bridal Makeup</c:v>
                </c:pt>
                <c:pt idx="9">
                  <c:v>Saree prepleat</c:v>
                </c:pt>
                <c:pt idx="10">
                  <c:v>Fruit Facial</c:v>
                </c:pt>
                <c:pt idx="11">
                  <c:v>EBS</c:v>
                </c:pt>
                <c:pt idx="12">
                  <c:v>Wine Facial</c:v>
                </c:pt>
                <c:pt idx="13">
                  <c:v>Hair wash</c:v>
                </c:pt>
                <c:pt idx="14">
                  <c:v>Pearl Facial</c:v>
                </c:pt>
                <c:pt idx="15">
                  <c:v>Diamond Facial</c:v>
                </c:pt>
                <c:pt idx="16">
                  <c:v>Bleach</c:v>
                </c:pt>
                <c:pt idx="17">
                  <c:v>Vitamin C Facial</c:v>
                </c:pt>
                <c:pt idx="18">
                  <c:v>Cleanup</c:v>
                </c:pt>
                <c:pt idx="19">
                  <c:v>Simple Makeup</c:v>
                </c:pt>
                <c:pt idx="20">
                  <c:v>Party Makeup</c:v>
                </c:pt>
                <c:pt idx="21">
                  <c:v>Hair SPA</c:v>
                </c:pt>
                <c:pt idx="22">
                  <c:v>Green Tea Facial</c:v>
                </c:pt>
                <c:pt idx="23">
                  <c:v>Saree drape</c:v>
                </c:pt>
                <c:pt idx="24">
                  <c:v>Bridal Facial</c:v>
                </c:pt>
                <c:pt idx="25">
                  <c:v>U cut</c:v>
                </c:pt>
                <c:pt idx="26">
                  <c:v>Head Massage</c:v>
                </c:pt>
                <c:pt idx="27">
                  <c:v>Hair coloring full</c:v>
                </c:pt>
                <c:pt idx="28">
                  <c:v>Lice treatment</c:v>
                </c:pt>
                <c:pt idx="29">
                  <c:v>Basic cut</c:v>
                </c:pt>
                <c:pt idx="30">
                  <c:v>Straight cut</c:v>
                </c:pt>
                <c:pt idx="31">
                  <c:v>Hand Wax</c:v>
                </c:pt>
                <c:pt idx="32">
                  <c:v>Face Wax</c:v>
                </c:pt>
                <c:pt idx="33">
                  <c:v>Butterfly cut</c:v>
                </c:pt>
                <c:pt idx="34">
                  <c:v>Pedicure</c:v>
                </c:pt>
                <c:pt idx="35">
                  <c:v>Straightening</c:v>
                </c:pt>
                <c:pt idx="36">
                  <c:v>Feather cut</c:v>
                </c:pt>
                <c:pt idx="37">
                  <c:v>Baby cut</c:v>
                </c:pt>
                <c:pt idx="38">
                  <c:v>Full Arms Wax</c:v>
                </c:pt>
                <c:pt idx="39">
                  <c:v>Smoothening</c:v>
                </c:pt>
                <c:pt idx="40">
                  <c:v>Ear piercing</c:v>
                </c:pt>
                <c:pt idx="41">
                  <c:v>Under Arm Wax</c:v>
                </c:pt>
                <c:pt idx="42">
                  <c:v>Blowdry</c:v>
                </c:pt>
              </c:strCache>
            </c:strRef>
          </c:cat>
          <c:val>
            <c:numRef>
              <c:f>Business_Statistics!$G$3:$G$45</c:f>
              <c:numCache>
                <c:formatCode>0.00%</c:formatCode>
                <c:ptCount val="43"/>
                <c:pt idx="0">
                  <c:v>0.18786665425086135</c:v>
                </c:pt>
                <c:pt idx="1">
                  <c:v>0.25221156532265576</c:v>
                </c:pt>
                <c:pt idx="2">
                  <c:v>0.30868795977279079</c:v>
                </c:pt>
                <c:pt idx="3">
                  <c:v>0.35412980724462245</c:v>
                </c:pt>
                <c:pt idx="4">
                  <c:v>0.39836111369773725</c:v>
                </c:pt>
                <c:pt idx="5">
                  <c:v>0.43979886395381323</c:v>
                </c:pt>
                <c:pt idx="6">
                  <c:v>0.47471831641679862</c:v>
                </c:pt>
                <c:pt idx="7">
                  <c:v>0.50754260173200483</c:v>
                </c:pt>
                <c:pt idx="8">
                  <c:v>0.54013409069745788</c:v>
                </c:pt>
                <c:pt idx="9">
                  <c:v>0.57267902039296026</c:v>
                </c:pt>
                <c:pt idx="10">
                  <c:v>0.60447900176925229</c:v>
                </c:pt>
                <c:pt idx="11">
                  <c:v>0.63450973088741969</c:v>
                </c:pt>
                <c:pt idx="12">
                  <c:v>0.66128131110904187</c:v>
                </c:pt>
                <c:pt idx="13">
                  <c:v>0.68595772418288492</c:v>
                </c:pt>
                <c:pt idx="14">
                  <c:v>0.71049445944687595</c:v>
                </c:pt>
                <c:pt idx="15">
                  <c:v>0.73451904274140989</c:v>
                </c:pt>
                <c:pt idx="16">
                  <c:v>0.75779867771673348</c:v>
                </c:pt>
                <c:pt idx="17">
                  <c:v>0.77735357109600534</c:v>
                </c:pt>
                <c:pt idx="18">
                  <c:v>0.79681534593537584</c:v>
                </c:pt>
                <c:pt idx="19">
                  <c:v>0.81497346121612824</c:v>
                </c:pt>
                <c:pt idx="20">
                  <c:v>0.83173479839836117</c:v>
                </c:pt>
                <c:pt idx="21">
                  <c:v>0.8483564577707422</c:v>
                </c:pt>
                <c:pt idx="22">
                  <c:v>0.86325542415494927</c:v>
                </c:pt>
                <c:pt idx="23">
                  <c:v>0.87675761244063699</c:v>
                </c:pt>
                <c:pt idx="24">
                  <c:v>0.8896079709470156</c:v>
                </c:pt>
                <c:pt idx="25">
                  <c:v>0.90222553310364095</c:v>
                </c:pt>
                <c:pt idx="26">
                  <c:v>0.91465685818046372</c:v>
                </c:pt>
                <c:pt idx="27">
                  <c:v>0.92676226836763198</c:v>
                </c:pt>
                <c:pt idx="28">
                  <c:v>0.93607412235776144</c:v>
                </c:pt>
                <c:pt idx="29">
                  <c:v>0.94445479094887796</c:v>
                </c:pt>
                <c:pt idx="30">
                  <c:v>0.95269578173014247</c:v>
                </c:pt>
                <c:pt idx="31">
                  <c:v>0.96084365397150573</c:v>
                </c:pt>
                <c:pt idx="32">
                  <c:v>0.96764130738430021</c:v>
                </c:pt>
                <c:pt idx="33">
                  <c:v>0.97304218269857523</c:v>
                </c:pt>
                <c:pt idx="34">
                  <c:v>0.97816370239314643</c:v>
                </c:pt>
                <c:pt idx="35">
                  <c:v>0.98235403668870469</c:v>
                </c:pt>
                <c:pt idx="36">
                  <c:v>0.98607877828475643</c:v>
                </c:pt>
                <c:pt idx="37">
                  <c:v>0.98919824937144984</c:v>
                </c:pt>
                <c:pt idx="38">
                  <c:v>0.99222460191824191</c:v>
                </c:pt>
                <c:pt idx="39">
                  <c:v>0.99511127665518206</c:v>
                </c:pt>
                <c:pt idx="40">
                  <c:v>0.99790483285222087</c:v>
                </c:pt>
                <c:pt idx="41">
                  <c:v>0.99906881460098707</c:v>
                </c:pt>
                <c:pt idx="4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E7-41C0-990D-AA44A6D00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736896"/>
        <c:axId val="1092730176"/>
      </c:lineChart>
      <c:catAx>
        <c:axId val="1092699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00416"/>
        <c:crosses val="autoZero"/>
        <c:auto val="1"/>
        <c:lblAlgn val="ctr"/>
        <c:lblOffset val="100"/>
        <c:noMultiLvlLbl val="0"/>
      </c:catAx>
      <c:valAx>
        <c:axId val="109270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Absolute Revenue (₹)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99456"/>
        <c:crosses val="autoZero"/>
        <c:crossBetween val="between"/>
      </c:valAx>
      <c:valAx>
        <c:axId val="1092730176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000" b="0" i="0" u="none" strike="noStrike" baseline="0"/>
                  <a:t>Cumulative %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736896"/>
        <c:crosses val="max"/>
        <c:crossBetween val="between"/>
      </c:valAx>
      <c:catAx>
        <c:axId val="10927368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92730176"/>
        <c:crossesAt val="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Pareto Analysis – Tailoring Services (FEB - JUNE)2025</a:t>
            </a:r>
          </a:p>
        </c:rich>
      </c:tx>
      <c:layout>
        <c:manualLayout>
          <c:xMode val="edge"/>
          <c:yMode val="edge"/>
          <c:x val="0.17095571164356155"/>
          <c:y val="2.3148139758003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Business_Statistics!$J$2</c:f>
              <c:strCache>
                <c:ptCount val="1"/>
                <c:pt idx="0">
                  <c:v>Absolute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Business_Statistics!$I$3:$I$16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Business_Statistics!$J$3:$J$16</c:f>
              <c:numCache>
                <c:formatCode>"₹"\ #,##0</c:formatCode>
                <c:ptCount val="14"/>
                <c:pt idx="0">
                  <c:v>15200</c:v>
                </c:pt>
                <c:pt idx="1">
                  <c:v>6345.0000000000009</c:v>
                </c:pt>
                <c:pt idx="2">
                  <c:v>5500</c:v>
                </c:pt>
                <c:pt idx="3">
                  <c:v>2650</c:v>
                </c:pt>
                <c:pt idx="4">
                  <c:v>2010</c:v>
                </c:pt>
                <c:pt idx="5">
                  <c:v>1599.9999999999998</c:v>
                </c:pt>
                <c:pt idx="6">
                  <c:v>1050</c:v>
                </c:pt>
                <c:pt idx="7">
                  <c:v>1000.0000000000001</c:v>
                </c:pt>
                <c:pt idx="8">
                  <c:v>1000.0000000000001</c:v>
                </c:pt>
                <c:pt idx="9">
                  <c:v>950</c:v>
                </c:pt>
                <c:pt idx="10">
                  <c:v>780</c:v>
                </c:pt>
                <c:pt idx="11">
                  <c:v>690</c:v>
                </c:pt>
                <c:pt idx="12">
                  <c:v>399.99999999999994</c:v>
                </c:pt>
                <c:pt idx="13">
                  <c:v>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3-401B-9705-0BFE88C3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298576"/>
        <c:axId val="683301936"/>
      </c:barChart>
      <c:lineChart>
        <c:grouping val="standard"/>
        <c:varyColors val="0"/>
        <c:ser>
          <c:idx val="1"/>
          <c:order val="1"/>
          <c:tx>
            <c:strRef>
              <c:f>Business_Statistics!$L$2</c:f>
              <c:strCache>
                <c:ptCount val="1"/>
                <c:pt idx="0">
                  <c:v>Cummulative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Business_Statistics!$I$3:$I$16</c:f>
              <c:strCache>
                <c:ptCount val="14"/>
                <c:pt idx="0">
                  <c:v>Aari Blouse  </c:v>
                </c:pt>
                <c:pt idx="1">
                  <c:v>Blouse</c:v>
                </c:pt>
                <c:pt idx="2">
                  <c:v>Bridal Blouse</c:v>
                </c:pt>
                <c:pt idx="3">
                  <c:v>Chudidhar </c:v>
                </c:pt>
                <c:pt idx="4">
                  <c:v>Alteration work</c:v>
                </c:pt>
                <c:pt idx="5">
                  <c:v>Saree Oram</c:v>
                </c:pt>
                <c:pt idx="6">
                  <c:v>Uniform Stitching</c:v>
                </c:pt>
                <c:pt idx="7">
                  <c:v>Maxi Aari Work</c:v>
                </c:pt>
                <c:pt idx="8">
                  <c:v>Machine Embroidery</c:v>
                </c:pt>
                <c:pt idx="9">
                  <c:v>Sleeve</c:v>
                </c:pt>
                <c:pt idx="10">
                  <c:v>Pant</c:v>
                </c:pt>
                <c:pt idx="11">
                  <c:v>Oram Stitching</c:v>
                </c:pt>
                <c:pt idx="12">
                  <c:v>Maxi</c:v>
                </c:pt>
                <c:pt idx="13">
                  <c:v>Fals Stitching</c:v>
                </c:pt>
              </c:strCache>
            </c:strRef>
          </c:cat>
          <c:val>
            <c:numRef>
              <c:f>Business_Statistics!$L$3:$L$16</c:f>
              <c:numCache>
                <c:formatCode>0.00%</c:formatCode>
                <c:ptCount val="14"/>
                <c:pt idx="0">
                  <c:v>0.38549327922901344</c:v>
                </c:pt>
                <c:pt idx="1">
                  <c:v>0.54641136190717732</c:v>
                </c:pt>
                <c:pt idx="2">
                  <c:v>0.68589906162820191</c:v>
                </c:pt>
                <c:pt idx="3">
                  <c:v>0.75310677149378646</c:v>
                </c:pt>
                <c:pt idx="4">
                  <c:v>0.80408318539183365</c:v>
                </c:pt>
                <c:pt idx="5">
                  <c:v>0.84466142531067723</c:v>
                </c:pt>
                <c:pt idx="6">
                  <c:v>0.87129089525741832</c:v>
                </c:pt>
                <c:pt idx="7">
                  <c:v>0.89665229520669554</c:v>
                </c:pt>
                <c:pt idx="8">
                  <c:v>0.92201369515597276</c:v>
                </c:pt>
                <c:pt idx="9">
                  <c:v>0.9461070251077861</c:v>
                </c:pt>
                <c:pt idx="10">
                  <c:v>0.96588891706822233</c:v>
                </c:pt>
                <c:pt idx="11">
                  <c:v>0.98338828303322356</c:v>
                </c:pt>
                <c:pt idx="12">
                  <c:v>0.99353284301293443</c:v>
                </c:pt>
                <c:pt idx="13">
                  <c:v>1.0000000000000002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3-401B-9705-0BFE88C37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1159056"/>
        <c:axId val="1022347168"/>
      </c:lineChart>
      <c:catAx>
        <c:axId val="6832985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Services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301936"/>
        <c:crosses val="autoZero"/>
        <c:auto val="1"/>
        <c:lblAlgn val="ctr"/>
        <c:lblOffset val="100"/>
        <c:noMultiLvlLbl val="0"/>
      </c:catAx>
      <c:valAx>
        <c:axId val="68330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Absolute Revenue (₹)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143935185185185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298576"/>
        <c:crosses val="autoZero"/>
        <c:crossBetween val="between"/>
      </c:valAx>
      <c:valAx>
        <c:axId val="1022347168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Cumulative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159056"/>
        <c:crosses val="max"/>
        <c:crossBetween val="between"/>
      </c:valAx>
      <c:catAx>
        <c:axId val="11811590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22347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320040</xdr:colOff>
      <xdr:row>1</xdr:row>
      <xdr:rowOff>114300</xdr:rowOff>
    </xdr:from>
    <xdr:to>
      <xdr:col>5</xdr:col>
      <xdr:colOff>563880</xdr:colOff>
      <xdr:row>16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3EF2B1-2824-49AE-A905-FFA18EA4E5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182880</xdr:colOff>
      <xdr:row>0</xdr:row>
      <xdr:rowOff>99060</xdr:rowOff>
    </xdr:from>
    <xdr:to>
      <xdr:col>15</xdr:col>
      <xdr:colOff>30480</xdr:colOff>
      <xdr:row>17</xdr:row>
      <xdr:rowOff>104572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B3280BA-3A9B-40C5-856D-3A588B1C1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68580</xdr:colOff>
      <xdr:row>17</xdr:row>
      <xdr:rowOff>129540</xdr:rowOff>
    </xdr:from>
    <xdr:to>
      <xdr:col>5</xdr:col>
      <xdr:colOff>299591</xdr:colOff>
      <xdr:row>33</xdr:row>
      <xdr:rowOff>19381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0FC622-0362-4B36-B251-C6D0E8BC64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121920</xdr:colOff>
      <xdr:row>0</xdr:row>
      <xdr:rowOff>121920</xdr:rowOff>
    </xdr:from>
    <xdr:to>
      <xdr:col>23</xdr:col>
      <xdr:colOff>426720</xdr:colOff>
      <xdr:row>15</xdr:row>
      <xdr:rowOff>121920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35E4E62-E7A8-460C-B03F-B023745EA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312420</xdr:colOff>
      <xdr:row>18</xdr:row>
      <xdr:rowOff>76200</xdr:rowOff>
    </xdr:from>
    <xdr:to>
      <xdr:col>15</xdr:col>
      <xdr:colOff>53340</xdr:colOff>
      <xdr:row>33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FCA23B-1313-49DD-B4B9-17EE0E3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0</xdr:colOff>
      <xdr:row>19</xdr:row>
      <xdr:rowOff>0</xdr:rowOff>
    </xdr:from>
    <xdr:to>
      <xdr:col>25</xdr:col>
      <xdr:colOff>175260</xdr:colOff>
      <xdr:row>37</xdr:row>
      <xdr:rowOff>99060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50828E-65F5-4D46-AC33-6DF3927E0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2</xdr:row>
      <xdr:rowOff>0</xdr:rowOff>
    </xdr:from>
    <xdr:to>
      <xdr:col>35</xdr:col>
      <xdr:colOff>152400</xdr:colOff>
      <xdr:row>21</xdr:row>
      <xdr:rowOff>30480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E972EB7-2F0D-4848-AD80-342F767CFF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22</xdr:row>
      <xdr:rowOff>0</xdr:rowOff>
    </xdr:from>
    <xdr:to>
      <xdr:col>33</xdr:col>
      <xdr:colOff>304800</xdr:colOff>
      <xdr:row>37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12A7C19-5434-4C40-BB19-2CFEA573F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36</xdr:col>
      <xdr:colOff>0</xdr:colOff>
      <xdr:row>3</xdr:row>
      <xdr:rowOff>0</xdr:rowOff>
    </xdr:from>
    <xdr:to>
      <xdr:col>43</xdr:col>
      <xdr:colOff>304800</xdr:colOff>
      <xdr:row>18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1CAEB19-9BD8-4573-95E8-57291D727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526473</xdr:colOff>
      <xdr:row>39</xdr:row>
      <xdr:rowOff>96981</xdr:rowOff>
    </xdr:from>
    <xdr:to>
      <xdr:col>25</xdr:col>
      <xdr:colOff>249382</xdr:colOff>
      <xdr:row>58</xdr:row>
      <xdr:rowOff>124691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8C05D-06C4-4130-9753-BF88AD6CD0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36</xdr:col>
      <xdr:colOff>0</xdr:colOff>
      <xdr:row>23</xdr:row>
      <xdr:rowOff>0</xdr:rowOff>
    </xdr:from>
    <xdr:to>
      <xdr:col>44</xdr:col>
      <xdr:colOff>399585</xdr:colOff>
      <xdr:row>40</xdr:row>
      <xdr:rowOff>46464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2C0D3F-C802-4C69-9E28-068721383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angeline Christina" refreshedDate="45874.652576157408" createdVersion="8" refreshedVersion="8" minRefreshableVersion="3" recordCount="610" xr:uid="{C4D441C5-5F61-4F9E-8E0A-3830C4C1BDAF}">
  <cacheSource type="worksheet">
    <worksheetSource ref="B1:K611" sheet="Cleaned_Data"/>
  </cacheSource>
  <cacheFields count="10">
    <cacheField name="SERVICE" numFmtId="0">
      <sharedItems count="57">
        <s v="Eyebrow Threading"/>
        <s v="Baby Shower Makeup"/>
        <s v="Fruit Facial"/>
        <s v="Saree prepleat"/>
        <s v="Bleach"/>
        <s v="U cut"/>
        <s v="Hair coloring"/>
        <s v="Layer cut"/>
        <s v="Cleanup"/>
        <s v="Golden Facial"/>
        <s v="Color apply"/>
        <s v="Straight cut"/>
        <s v="De-tan Facial"/>
        <s v="Face Wax"/>
        <s v="Basic cut"/>
        <s v="Hand Wax"/>
        <s v="Simple Makeup"/>
        <s v="Butterfly cut"/>
        <s v="Pearl Facial"/>
        <s v="Head Massage"/>
        <s v="Hair SPA"/>
        <s v="Baby cut"/>
        <s v="Ear piercing"/>
        <s v="Vitamin C Facial"/>
        <s v="Bridal Facial"/>
        <s v="EBS"/>
        <s v="Feather cut"/>
        <s v="Pedicure"/>
        <s v="Wine Facial"/>
        <s v="Lice treatment"/>
        <s v="Bridal Makeup"/>
        <s v="Hair wash"/>
        <s v="Smoothening"/>
        <s v="Diamond Facial"/>
        <s v="Green Tea Facial"/>
        <s v="Under Arm Wax"/>
        <s v="Saree drape"/>
        <s v="Alteration work"/>
        <s v="Blouse"/>
        <s v="Whitening Facial"/>
        <s v="Maxi Aari Work"/>
        <s v="Maxi"/>
        <s v="Aari Blouse  "/>
        <s v="Saree Oram"/>
        <s v="Chudidhar "/>
        <s v="Bridal Blouse"/>
        <s v="Sleeve"/>
        <s v="Pant"/>
        <s v="Oram Stitching"/>
        <s v="Party Makeup"/>
        <s v="Full Arms Wax"/>
        <s v="Fals Stitching"/>
        <s v="Blowdry"/>
        <s v="Hair coloring full"/>
        <s v="Uniform Stitching"/>
        <s v="Straightening"/>
        <s v="Machine Embroidery"/>
      </sharedItems>
    </cacheField>
    <cacheField name="AMOUNT PAID" numFmtId="164">
      <sharedItems containsSemiMixedTypes="0" containsString="0" containsNumber="1" containsInteger="1" minValue="40" maxValue="7000"/>
    </cacheField>
    <cacheField name="CUSTOMER TYPE" numFmtId="0">
      <sharedItems/>
    </cacheField>
    <cacheField name="CATEGORY" numFmtId="0">
      <sharedItems count="2">
        <s v="Beauty service"/>
        <s v="Tailoring service"/>
      </sharedItems>
    </cacheField>
    <cacheField name="MONTH-YEAR" numFmtId="0">
      <sharedItems/>
    </cacheField>
    <cacheField name="MONTHNUM" numFmtId="0">
      <sharedItems/>
    </cacheField>
    <cacheField name="MIN price" numFmtId="0">
      <sharedItems containsSemiMixedTypes="0" containsString="0" containsNumber="1" containsInteger="1" minValue="30" maxValue="5000"/>
    </cacheField>
    <cacheField name="MAX price" numFmtId="0">
      <sharedItems containsSemiMixedTypes="0" containsString="0" containsNumber="1" containsInteger="1" minValue="40" maxValue="12000"/>
    </cacheField>
    <cacheField name="Pricing Behavior" numFmtId="0">
      <sharedItems/>
    </cacheField>
    <cacheField name="Revenue Loss" numFmtId="0">
      <sharedItems containsSemiMixedTypes="0" containsString="0" containsNumber="1" containsInteger="1" minValue="0" maxValue="3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x v="0"/>
    <n v="70"/>
    <s v="New"/>
    <x v="0"/>
    <s v="Jul-2024"/>
    <s v="2024-07"/>
    <n v="60"/>
    <n v="70"/>
    <s v="Within Range"/>
    <n v="0"/>
  </r>
  <r>
    <x v="0"/>
    <n v="70"/>
    <s v="Repeat"/>
    <x v="0"/>
    <s v="Jul-2024"/>
    <s v="2024-07"/>
    <n v="60"/>
    <n v="70"/>
    <s v="Within Range"/>
    <n v="0"/>
  </r>
  <r>
    <x v="0"/>
    <n v="70"/>
    <s v="Repeat"/>
    <x v="0"/>
    <s v="Jul-2024"/>
    <s v="2024-07"/>
    <n v="60"/>
    <n v="70"/>
    <s v="Within Range"/>
    <n v="0"/>
  </r>
  <r>
    <x v="0"/>
    <n v="60"/>
    <s v="Repeat"/>
    <x v="0"/>
    <s v="Jul-2024"/>
    <s v="2024-07"/>
    <n v="60"/>
    <n v="70"/>
    <s v="Within Range"/>
    <n v="0"/>
  </r>
  <r>
    <x v="1"/>
    <n v="4500"/>
    <s v="Repeat"/>
    <x v="0"/>
    <s v="Jul-2024"/>
    <s v="2024-07"/>
    <n v="3000"/>
    <n v="5000"/>
    <s v="Within Range"/>
    <n v="0"/>
  </r>
  <r>
    <x v="2"/>
    <n v="850"/>
    <s v="Repeat"/>
    <x v="0"/>
    <s v="Jul-2024"/>
    <s v="2024-07"/>
    <n v="800"/>
    <n v="800"/>
    <s v="Above Max"/>
    <n v="0"/>
  </r>
  <r>
    <x v="3"/>
    <n v="140"/>
    <s v="Repeat"/>
    <x v="0"/>
    <s v="Jul-2024"/>
    <s v="2024-07"/>
    <n v="350"/>
    <n v="700"/>
    <s v="Below Min(Bargain)"/>
    <n v="210"/>
  </r>
  <r>
    <x v="0"/>
    <n v="60"/>
    <s v="Repeat"/>
    <x v="0"/>
    <s v="Jul-2024"/>
    <s v="2024-07"/>
    <n v="60"/>
    <n v="70"/>
    <s v="Within Range"/>
    <n v="0"/>
  </r>
  <r>
    <x v="0"/>
    <n v="60"/>
    <s v="New"/>
    <x v="0"/>
    <s v="Jul-2024"/>
    <s v="2024-07"/>
    <n v="60"/>
    <n v="70"/>
    <s v="Within Range"/>
    <n v="0"/>
  </r>
  <r>
    <x v="0"/>
    <n v="60"/>
    <s v="New"/>
    <x v="0"/>
    <s v="Jul-2024"/>
    <s v="2024-07"/>
    <n v="60"/>
    <n v="70"/>
    <s v="Within Range"/>
    <n v="0"/>
  </r>
  <r>
    <x v="0"/>
    <n v="60"/>
    <s v="Repeat"/>
    <x v="0"/>
    <s v="Jul-2024"/>
    <s v="2024-07"/>
    <n v="60"/>
    <n v="70"/>
    <s v="Within Range"/>
    <n v="0"/>
  </r>
  <r>
    <x v="4"/>
    <n v="200"/>
    <s v="Repeat"/>
    <x v="0"/>
    <s v="Jul-2024"/>
    <s v="2024-07"/>
    <n v="350"/>
    <n v="500"/>
    <s v="Below Min(Bargain)"/>
    <n v="150"/>
  </r>
  <r>
    <x v="0"/>
    <n v="60"/>
    <s v="Repeat"/>
    <x v="0"/>
    <s v="Jul-2024"/>
    <s v="2024-07"/>
    <n v="60"/>
    <n v="70"/>
    <s v="Within Range"/>
    <n v="0"/>
  </r>
  <r>
    <x v="0"/>
    <n v="100"/>
    <s v="Repeat"/>
    <x v="0"/>
    <s v="Jul-2024"/>
    <s v="2024-07"/>
    <n v="60"/>
    <n v="70"/>
    <s v="Above Max"/>
    <n v="0"/>
  </r>
  <r>
    <x v="5"/>
    <n v="350"/>
    <s v="Repeat"/>
    <x v="0"/>
    <s v="Jul-2024"/>
    <s v="2024-07"/>
    <n v="350"/>
    <n v="350"/>
    <s v="Within Range"/>
    <n v="0"/>
  </r>
  <r>
    <x v="6"/>
    <n v="700"/>
    <s v="Repeat"/>
    <x v="0"/>
    <s v="Jul-2024"/>
    <s v="2024-07"/>
    <n v="800"/>
    <n v="1000"/>
    <s v="Below Min(Bargain)"/>
    <n v="100"/>
  </r>
  <r>
    <x v="0"/>
    <n v="50"/>
    <s v="New"/>
    <x v="0"/>
    <s v="Jul-2024"/>
    <s v="2024-07"/>
    <n v="60"/>
    <n v="70"/>
    <s v="Below Min(Bargain)"/>
    <n v="10"/>
  </r>
  <r>
    <x v="7"/>
    <n v="500"/>
    <s v="Repeat"/>
    <x v="0"/>
    <s v="Jul-2024"/>
    <s v="2024-07"/>
    <n v="500"/>
    <n v="500"/>
    <s v="Within Range"/>
    <n v="0"/>
  </r>
  <r>
    <x v="8"/>
    <n v="400"/>
    <s v="Repeat"/>
    <x v="0"/>
    <s v="Jul-2024"/>
    <s v="2024-07"/>
    <n v="500"/>
    <n v="500"/>
    <s v="Below Min(Bargain)"/>
    <n v="100"/>
  </r>
  <r>
    <x v="0"/>
    <n v="50"/>
    <s v="Repeat"/>
    <x v="0"/>
    <s v="Jul-2024"/>
    <s v="2024-07"/>
    <n v="60"/>
    <n v="70"/>
    <s v="Below Min(Bargain)"/>
    <n v="10"/>
  </r>
  <r>
    <x v="9"/>
    <n v="1100"/>
    <s v="New"/>
    <x v="0"/>
    <s v="Jul-2024"/>
    <s v="2024-07"/>
    <n v="1100"/>
    <n v="1100"/>
    <s v="Within Range"/>
    <n v="0"/>
  </r>
  <r>
    <x v="0"/>
    <n v="50"/>
    <s v="Repeat"/>
    <x v="0"/>
    <s v="Jul-2024"/>
    <s v="2024-07"/>
    <n v="60"/>
    <n v="70"/>
    <s v="Below Min(Bargain)"/>
    <n v="10"/>
  </r>
  <r>
    <x v="3"/>
    <n v="450"/>
    <s v="Repeat"/>
    <x v="0"/>
    <s v="Jul-2024"/>
    <s v="2024-07"/>
    <n v="350"/>
    <n v="700"/>
    <s v="Within Range"/>
    <n v="0"/>
  </r>
  <r>
    <x v="6"/>
    <n v="740"/>
    <s v="Repeat"/>
    <x v="0"/>
    <s v="Jul-2024"/>
    <s v="2024-07"/>
    <n v="800"/>
    <n v="1000"/>
    <s v="Below Min(Bargain)"/>
    <n v="60"/>
  </r>
  <r>
    <x v="0"/>
    <n v="60"/>
    <s v="Repeat"/>
    <x v="0"/>
    <s v="Jul-2024"/>
    <s v="2024-07"/>
    <n v="60"/>
    <n v="70"/>
    <s v="Within Range"/>
    <n v="0"/>
  </r>
  <r>
    <x v="6"/>
    <n v="600"/>
    <s v="Repeat"/>
    <x v="0"/>
    <s v="Jul-2024"/>
    <s v="2024-07"/>
    <n v="800"/>
    <n v="1000"/>
    <s v="Below Min(Bargain)"/>
    <n v="200"/>
  </r>
  <r>
    <x v="6"/>
    <n v="550"/>
    <s v="Repeat"/>
    <x v="0"/>
    <s v="Jul-2024"/>
    <s v="2024-07"/>
    <n v="800"/>
    <n v="1000"/>
    <s v="Below Min(Bargain)"/>
    <n v="250"/>
  </r>
  <r>
    <x v="0"/>
    <n v="60"/>
    <s v="New"/>
    <x v="0"/>
    <s v="Jul-2024"/>
    <s v="2024-07"/>
    <n v="60"/>
    <n v="70"/>
    <s v="Within Range"/>
    <n v="0"/>
  </r>
  <r>
    <x v="10"/>
    <n v="300"/>
    <s v="Repeat"/>
    <x v="0"/>
    <s v="Jul-2024"/>
    <s v="2024-07"/>
    <n v="700"/>
    <n v="700"/>
    <s v="Below Min(Bargain)"/>
    <n v="400"/>
  </r>
  <r>
    <x v="0"/>
    <n v="40"/>
    <s v="Repeat"/>
    <x v="0"/>
    <s v="Jul-2024"/>
    <s v="2024-07"/>
    <n v="60"/>
    <n v="70"/>
    <s v="Below Min(Bargain)"/>
    <n v="20"/>
  </r>
  <r>
    <x v="10"/>
    <n v="500"/>
    <s v="Repeat"/>
    <x v="0"/>
    <s v="Jul-2024"/>
    <s v="2024-07"/>
    <n v="700"/>
    <n v="700"/>
    <s v="Below Min(Bargain)"/>
    <n v="200"/>
  </r>
  <r>
    <x v="11"/>
    <n v="270"/>
    <s v="Repeat"/>
    <x v="0"/>
    <s v="Jul-2024"/>
    <s v="2024-07"/>
    <n v="300"/>
    <n v="300"/>
    <s v="Below Min(Bargain)"/>
    <n v="30"/>
  </r>
  <r>
    <x v="8"/>
    <n v="450"/>
    <s v="Repeat"/>
    <x v="0"/>
    <s v="Jul-2024"/>
    <s v="2024-07"/>
    <n v="500"/>
    <n v="500"/>
    <s v="Below Min(Bargain)"/>
    <n v="50"/>
  </r>
  <r>
    <x v="0"/>
    <n v="50"/>
    <s v="Repeat"/>
    <x v="0"/>
    <s v="Jul-2024"/>
    <s v="2024-07"/>
    <n v="60"/>
    <n v="70"/>
    <s v="Below Min(Bargain)"/>
    <n v="10"/>
  </r>
  <r>
    <x v="0"/>
    <n v="50"/>
    <s v="New"/>
    <x v="0"/>
    <s v="Jul-2024"/>
    <s v="2024-07"/>
    <n v="60"/>
    <n v="70"/>
    <s v="Below Min(Bargain)"/>
    <n v="10"/>
  </r>
  <r>
    <x v="0"/>
    <n v="50"/>
    <s v="Repeat"/>
    <x v="0"/>
    <s v="Jul-2024"/>
    <s v="2024-07"/>
    <n v="60"/>
    <n v="70"/>
    <s v="Below Min(Bargain)"/>
    <n v="10"/>
  </r>
  <r>
    <x v="7"/>
    <n v="500"/>
    <s v="Repeat"/>
    <x v="0"/>
    <s v="Jul-2024"/>
    <s v="2024-07"/>
    <n v="500"/>
    <n v="500"/>
    <s v="Within Range"/>
    <n v="0"/>
  </r>
  <r>
    <x v="0"/>
    <n v="50"/>
    <s v="Repeat"/>
    <x v="0"/>
    <s v="Jul-2024"/>
    <s v="2024-07"/>
    <n v="60"/>
    <n v="70"/>
    <s v="Below Min(Bargain)"/>
    <n v="10"/>
  </r>
  <r>
    <x v="0"/>
    <n v="50"/>
    <s v="Repeat"/>
    <x v="0"/>
    <s v="Jul-2024"/>
    <s v="2024-07"/>
    <n v="60"/>
    <n v="70"/>
    <s v="Below Min(Bargain)"/>
    <n v="10"/>
  </r>
  <r>
    <x v="12"/>
    <n v="800"/>
    <s v="Repeat"/>
    <x v="0"/>
    <s v="Aug-2024"/>
    <s v="2024-08"/>
    <n v="1000"/>
    <n v="1000"/>
    <s v="Below Min(Bargain)"/>
    <n v="200"/>
  </r>
  <r>
    <x v="10"/>
    <n v="400"/>
    <s v="Repeat"/>
    <x v="0"/>
    <s v="Aug-2024"/>
    <s v="2024-08"/>
    <n v="700"/>
    <n v="700"/>
    <s v="Below Min(Bargain)"/>
    <n v="30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10"/>
    <n v="400"/>
    <s v="Repeat"/>
    <x v="0"/>
    <s v="Aug-2024"/>
    <s v="2024-08"/>
    <n v="700"/>
    <n v="700"/>
    <s v="Below Min(Bargain)"/>
    <n v="30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13"/>
    <n v="300"/>
    <s v="Repeat"/>
    <x v="0"/>
    <s v="Aug-2024"/>
    <s v="2024-08"/>
    <n v="300"/>
    <n v="300"/>
    <s v="Within Range"/>
    <n v="0"/>
  </r>
  <r>
    <x v="14"/>
    <n v="250"/>
    <s v="Repeat"/>
    <x v="0"/>
    <s v="Aug-2024"/>
    <s v="2024-08"/>
    <n v="250"/>
    <n v="250"/>
    <s v="Within Range"/>
    <n v="0"/>
  </r>
  <r>
    <x v="10"/>
    <n v="700"/>
    <s v="Repeat"/>
    <x v="0"/>
    <s v="Aug-2024"/>
    <s v="2024-08"/>
    <n v="700"/>
    <n v="700"/>
    <s v="Within Range"/>
    <n v="0"/>
  </r>
  <r>
    <x v="15"/>
    <n v="250"/>
    <s v="New"/>
    <x v="0"/>
    <s v="Aug-2024"/>
    <s v="2024-08"/>
    <n v="3500"/>
    <n v="3500"/>
    <s v="Below Min(Bargain)"/>
    <n v="3250"/>
  </r>
  <r>
    <x v="0"/>
    <n v="70"/>
    <s v="Repeat"/>
    <x v="0"/>
    <s v="Aug-2024"/>
    <s v="2024-08"/>
    <n v="60"/>
    <n v="70"/>
    <s v="Within Range"/>
    <n v="0"/>
  </r>
  <r>
    <x v="0"/>
    <n v="70"/>
    <s v="Repeat"/>
    <x v="0"/>
    <s v="Aug-2024"/>
    <s v="2024-08"/>
    <n v="60"/>
    <n v="70"/>
    <s v="Within Range"/>
    <n v="0"/>
  </r>
  <r>
    <x v="0"/>
    <n v="100"/>
    <s v="New"/>
    <x v="0"/>
    <s v="Aug-2024"/>
    <s v="2024-08"/>
    <n v="60"/>
    <n v="70"/>
    <s v="Above Max"/>
    <n v="0"/>
  </r>
  <r>
    <x v="12"/>
    <n v="800"/>
    <s v="Repeat"/>
    <x v="0"/>
    <s v="Aug-2024"/>
    <s v="2024-08"/>
    <n v="1000"/>
    <n v="1000"/>
    <s v="Below Min(Bargain)"/>
    <n v="200"/>
  </r>
  <r>
    <x v="0"/>
    <n v="60"/>
    <s v="New"/>
    <x v="0"/>
    <s v="Aug-2024"/>
    <s v="2024-08"/>
    <n v="60"/>
    <n v="70"/>
    <s v="Within Range"/>
    <n v="0"/>
  </r>
  <r>
    <x v="0"/>
    <n v="40"/>
    <s v="Repeat"/>
    <x v="0"/>
    <s v="Aug-2024"/>
    <s v="2024-08"/>
    <n v="60"/>
    <n v="70"/>
    <s v="Below Min(Bargain)"/>
    <n v="20"/>
  </r>
  <r>
    <x v="0"/>
    <n v="50"/>
    <s v="Repeat"/>
    <x v="0"/>
    <s v="Aug-2024"/>
    <s v="2024-08"/>
    <n v="60"/>
    <n v="70"/>
    <s v="Below Min(Bargain)"/>
    <n v="10"/>
  </r>
  <r>
    <x v="16"/>
    <n v="2000"/>
    <s v="New"/>
    <x v="0"/>
    <s v="Aug-2024"/>
    <s v="2024-08"/>
    <n v="1000"/>
    <n v="2000"/>
    <s v="Within Range"/>
    <n v="0"/>
  </r>
  <r>
    <x v="6"/>
    <n v="700"/>
    <s v="New"/>
    <x v="0"/>
    <s v="Aug-2024"/>
    <s v="2024-08"/>
    <n v="800"/>
    <n v="1000"/>
    <s v="Below Min(Bargain)"/>
    <n v="100"/>
  </r>
  <r>
    <x v="7"/>
    <n v="450"/>
    <s v="Repeat"/>
    <x v="0"/>
    <s v="Aug-2024"/>
    <s v="2024-08"/>
    <n v="500"/>
    <n v="500"/>
    <s v="Below Min(Bargain)"/>
    <n v="50"/>
  </r>
  <r>
    <x v="5"/>
    <n v="350"/>
    <s v="Repeat"/>
    <x v="0"/>
    <s v="Aug-2024"/>
    <s v="2024-08"/>
    <n v="350"/>
    <n v="350"/>
    <s v="Within Range"/>
    <n v="0"/>
  </r>
  <r>
    <x v="10"/>
    <n v="500"/>
    <s v="Repeat"/>
    <x v="0"/>
    <s v="Aug-2024"/>
    <s v="2024-08"/>
    <n v="700"/>
    <n v="700"/>
    <s v="Below Min(Bargain)"/>
    <n v="200"/>
  </r>
  <r>
    <x v="17"/>
    <n v="600"/>
    <s v="Repeat"/>
    <x v="0"/>
    <s v="Aug-2024"/>
    <s v="2024-08"/>
    <n v="600"/>
    <n v="600"/>
    <s v="Within Range"/>
    <n v="0"/>
  </r>
  <r>
    <x v="0"/>
    <n v="50"/>
    <s v="Repeat"/>
    <x v="0"/>
    <s v="Aug-2024"/>
    <s v="2024-08"/>
    <n v="60"/>
    <n v="70"/>
    <s v="Below Min(Bargain)"/>
    <n v="10"/>
  </r>
  <r>
    <x v="7"/>
    <n v="450"/>
    <s v="Repeat"/>
    <x v="0"/>
    <s v="Aug-2024"/>
    <s v="2024-08"/>
    <n v="500"/>
    <n v="500"/>
    <s v="Below Min(Bargain)"/>
    <n v="50"/>
  </r>
  <r>
    <x v="18"/>
    <n v="900"/>
    <s v="New"/>
    <x v="0"/>
    <s v="Aug-2024"/>
    <s v="2024-08"/>
    <n v="900"/>
    <n v="900"/>
    <s v="Within Range"/>
    <n v="0"/>
  </r>
  <r>
    <x v="0"/>
    <n v="70"/>
    <s v="New"/>
    <x v="0"/>
    <s v="Aug-2024"/>
    <s v="2024-08"/>
    <n v="60"/>
    <n v="70"/>
    <s v="Within Range"/>
    <n v="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11"/>
    <n v="300"/>
    <s v="Repeat"/>
    <x v="0"/>
    <s v="Aug-2024"/>
    <s v="2024-08"/>
    <n v="300"/>
    <n v="300"/>
    <s v="Within Range"/>
    <n v="0"/>
  </r>
  <r>
    <x v="8"/>
    <n v="500"/>
    <s v="Repeat"/>
    <x v="0"/>
    <s v="Aug-2024"/>
    <s v="2024-08"/>
    <n v="500"/>
    <n v="500"/>
    <s v="Within Range"/>
    <n v="0"/>
  </r>
  <r>
    <x v="0"/>
    <n v="50"/>
    <s v="New"/>
    <x v="0"/>
    <s v="Aug-2024"/>
    <s v="2024-08"/>
    <n v="60"/>
    <n v="70"/>
    <s v="Below Min(Bargain)"/>
    <n v="10"/>
  </r>
  <r>
    <x v="0"/>
    <n v="50"/>
    <s v="New"/>
    <x v="0"/>
    <s v="Aug-2024"/>
    <s v="2024-08"/>
    <n v="60"/>
    <n v="70"/>
    <s v="Below Min(Bargain)"/>
    <n v="10"/>
  </r>
  <r>
    <x v="6"/>
    <n v="900"/>
    <s v="Repeat"/>
    <x v="0"/>
    <s v="Aug-2024"/>
    <s v="2024-08"/>
    <n v="800"/>
    <n v="1000"/>
    <s v="Within Range"/>
    <n v="0"/>
  </r>
  <r>
    <x v="6"/>
    <n v="800"/>
    <s v="Repeat"/>
    <x v="0"/>
    <s v="Aug-2024"/>
    <s v="2024-08"/>
    <n v="800"/>
    <n v="1000"/>
    <s v="Within Range"/>
    <n v="0"/>
  </r>
  <r>
    <x v="0"/>
    <n v="50"/>
    <s v="Repeat"/>
    <x v="0"/>
    <s v="Aug-2024"/>
    <s v="2024-08"/>
    <n v="60"/>
    <n v="70"/>
    <s v="Below Min(Bargain)"/>
    <n v="10"/>
  </r>
  <r>
    <x v="0"/>
    <n v="80"/>
    <s v="Repeat"/>
    <x v="0"/>
    <s v="Aug-2024"/>
    <s v="2024-08"/>
    <n v="60"/>
    <n v="70"/>
    <s v="Above Max"/>
    <n v="0"/>
  </r>
  <r>
    <x v="0"/>
    <n v="50"/>
    <s v="Repeat"/>
    <x v="0"/>
    <s v="Aug-2024"/>
    <s v="2024-08"/>
    <n v="60"/>
    <n v="70"/>
    <s v="Below Min(Bargain)"/>
    <n v="10"/>
  </r>
  <r>
    <x v="0"/>
    <n v="70"/>
    <s v="Repeat"/>
    <x v="0"/>
    <s v="Aug-2024"/>
    <s v="2024-08"/>
    <n v="60"/>
    <n v="70"/>
    <s v="Within Range"/>
    <n v="0"/>
  </r>
  <r>
    <x v="18"/>
    <n v="900"/>
    <s v="Repeat"/>
    <x v="0"/>
    <s v="Aug-2024"/>
    <s v="2024-08"/>
    <n v="900"/>
    <n v="900"/>
    <s v="Within Range"/>
    <n v="0"/>
  </r>
  <r>
    <x v="0"/>
    <n v="50"/>
    <s v="Repeat"/>
    <x v="0"/>
    <s v="Aug-2024"/>
    <s v="2024-08"/>
    <n v="60"/>
    <n v="70"/>
    <s v="Below Min(Bargain)"/>
    <n v="10"/>
  </r>
  <r>
    <x v="10"/>
    <n v="700"/>
    <s v="Repeat"/>
    <x v="0"/>
    <s v="Aug-2024"/>
    <s v="2024-08"/>
    <n v="700"/>
    <n v="700"/>
    <s v="Within Range"/>
    <n v="0"/>
  </r>
  <r>
    <x v="10"/>
    <n v="700"/>
    <s v="Repeat"/>
    <x v="0"/>
    <s v="Aug-2024"/>
    <s v="2024-08"/>
    <n v="700"/>
    <n v="700"/>
    <s v="Within Range"/>
    <n v="0"/>
  </r>
  <r>
    <x v="19"/>
    <n v="500"/>
    <s v="Repeat"/>
    <x v="0"/>
    <s v="Aug-2024"/>
    <s v="2024-08"/>
    <n v="400"/>
    <n v="400"/>
    <s v="Above Max"/>
    <n v="0"/>
  </r>
  <r>
    <x v="7"/>
    <n v="500"/>
    <s v="Repeat"/>
    <x v="0"/>
    <s v="Aug-2024"/>
    <s v="2024-08"/>
    <n v="500"/>
    <n v="500"/>
    <s v="Within Range"/>
    <n v="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50"/>
    <s v="Repeat"/>
    <x v="0"/>
    <s v="Aug-2024"/>
    <s v="2024-08"/>
    <n v="60"/>
    <n v="70"/>
    <s v="Below Min(Bargain)"/>
    <n v="10"/>
  </r>
  <r>
    <x v="0"/>
    <n v="60"/>
    <s v="Repeat"/>
    <x v="0"/>
    <s v="Aug-2024"/>
    <s v="2024-08"/>
    <n v="60"/>
    <n v="70"/>
    <s v="Within Range"/>
    <n v="0"/>
  </r>
  <r>
    <x v="0"/>
    <n v="80"/>
    <s v="Repeat"/>
    <x v="0"/>
    <s v="Aug-2024"/>
    <s v="2024-08"/>
    <n v="60"/>
    <n v="70"/>
    <s v="Above Max"/>
    <n v="0"/>
  </r>
  <r>
    <x v="0"/>
    <n v="70"/>
    <s v="Repeat"/>
    <x v="0"/>
    <s v="Aug-2024"/>
    <s v="2024-08"/>
    <n v="60"/>
    <n v="70"/>
    <s v="Within Range"/>
    <n v="0"/>
  </r>
  <r>
    <x v="0"/>
    <n v="60"/>
    <s v="Repeat"/>
    <x v="0"/>
    <s v="Aug-2024"/>
    <s v="2024-08"/>
    <n v="60"/>
    <n v="70"/>
    <s v="Within Range"/>
    <n v="0"/>
  </r>
  <r>
    <x v="0"/>
    <n v="60"/>
    <s v="New"/>
    <x v="0"/>
    <s v="Aug-2024"/>
    <s v="2024-08"/>
    <n v="60"/>
    <n v="70"/>
    <s v="Within Range"/>
    <n v="0"/>
  </r>
  <r>
    <x v="0"/>
    <n v="70"/>
    <s v="New"/>
    <x v="0"/>
    <s v="Aug-2024"/>
    <s v="2024-08"/>
    <n v="60"/>
    <n v="70"/>
    <s v="Within Range"/>
    <n v="0"/>
  </r>
  <r>
    <x v="0"/>
    <n v="70"/>
    <s v="Repeat"/>
    <x v="0"/>
    <s v="Sep-2024"/>
    <s v="2024-09"/>
    <n v="60"/>
    <n v="70"/>
    <s v="Within Range"/>
    <n v="0"/>
  </r>
  <r>
    <x v="6"/>
    <n v="700"/>
    <s v="Repeat"/>
    <x v="0"/>
    <s v="Sep-2024"/>
    <s v="2024-09"/>
    <n v="800"/>
    <n v="1000"/>
    <s v="Below Min(Bargain)"/>
    <n v="100"/>
  </r>
  <r>
    <x v="0"/>
    <n v="50"/>
    <s v="Repeat"/>
    <x v="0"/>
    <s v="Sep-2024"/>
    <s v="2024-09"/>
    <n v="60"/>
    <n v="70"/>
    <s v="Below Min(Bargain)"/>
    <n v="10"/>
  </r>
  <r>
    <x v="20"/>
    <n v="750"/>
    <s v="New"/>
    <x v="0"/>
    <s v="Sep-2024"/>
    <s v="2024-09"/>
    <n v="1000"/>
    <n v="1000"/>
    <s v="Below Min(Bargain)"/>
    <n v="250"/>
  </r>
  <r>
    <x v="21"/>
    <n v="150"/>
    <s v="New"/>
    <x v="0"/>
    <s v="Sep-2024"/>
    <s v="2024-09"/>
    <n v="150"/>
    <n v="200"/>
    <s v="Within Range"/>
    <n v="0"/>
  </r>
  <r>
    <x v="0"/>
    <n v="50"/>
    <s v="New"/>
    <x v="0"/>
    <s v="Sep-2024"/>
    <s v="2024-09"/>
    <n v="60"/>
    <n v="70"/>
    <s v="Below Min(Bargain)"/>
    <n v="10"/>
  </r>
  <r>
    <x v="3"/>
    <n v="350"/>
    <s v="Repeat"/>
    <x v="0"/>
    <s v="Sep-2024"/>
    <s v="2024-09"/>
    <n v="350"/>
    <n v="700"/>
    <s v="Within Range"/>
    <n v="0"/>
  </r>
  <r>
    <x v="3"/>
    <n v="350"/>
    <s v="New"/>
    <x v="0"/>
    <s v="Sep-2024"/>
    <s v="2024-09"/>
    <n v="350"/>
    <n v="700"/>
    <s v="Within Range"/>
    <n v="0"/>
  </r>
  <r>
    <x v="0"/>
    <n v="50"/>
    <s v="Repeat"/>
    <x v="0"/>
    <s v="Sep-2024"/>
    <s v="2024-09"/>
    <n v="60"/>
    <n v="70"/>
    <s v="Below Min(Bargain)"/>
    <n v="10"/>
  </r>
  <r>
    <x v="22"/>
    <n v="600"/>
    <s v="Repeat"/>
    <x v="0"/>
    <s v="Sep-2024"/>
    <s v="2024-09"/>
    <n v="600"/>
    <n v="1000"/>
    <s v="Within Range"/>
    <n v="0"/>
  </r>
  <r>
    <x v="0"/>
    <n v="50"/>
    <s v="Repeat"/>
    <x v="0"/>
    <s v="Sep-2024"/>
    <s v="2024-09"/>
    <n v="60"/>
    <n v="70"/>
    <s v="Below Min(Bargain)"/>
    <n v="10"/>
  </r>
  <r>
    <x v="4"/>
    <n v="200"/>
    <s v="Repeat"/>
    <x v="0"/>
    <s v="Sep-2024"/>
    <s v="2024-09"/>
    <n v="350"/>
    <n v="500"/>
    <s v="Below Min(Bargain)"/>
    <n v="150"/>
  </r>
  <r>
    <x v="12"/>
    <n v="1000"/>
    <s v="Repeat"/>
    <x v="0"/>
    <s v="Sep-2024"/>
    <s v="2024-09"/>
    <n v="1000"/>
    <n v="1000"/>
    <s v="Within Range"/>
    <n v="0"/>
  </r>
  <r>
    <x v="0"/>
    <n v="50"/>
    <s v="Repeat"/>
    <x v="0"/>
    <s v="Sep-2024"/>
    <s v="2024-09"/>
    <n v="60"/>
    <n v="70"/>
    <s v="Below Min(Bargain)"/>
    <n v="10"/>
  </r>
  <r>
    <x v="12"/>
    <n v="850"/>
    <s v="Repeat"/>
    <x v="0"/>
    <s v="Sep-2024"/>
    <s v="2024-09"/>
    <n v="1000"/>
    <n v="1000"/>
    <s v="Below Min(Bargain)"/>
    <n v="150"/>
  </r>
  <r>
    <x v="0"/>
    <n v="50"/>
    <s v="Repeat"/>
    <x v="0"/>
    <s v="Sep-2024"/>
    <s v="2024-09"/>
    <n v="60"/>
    <n v="70"/>
    <s v="Below Min(Bargain)"/>
    <n v="10"/>
  </r>
  <r>
    <x v="3"/>
    <n v="350"/>
    <s v="Repeat"/>
    <x v="0"/>
    <s v="Sep-2024"/>
    <s v="2024-09"/>
    <n v="350"/>
    <n v="700"/>
    <s v="Within Range"/>
    <n v="0"/>
  </r>
  <r>
    <x v="0"/>
    <n v="50"/>
    <s v="Repeat"/>
    <x v="0"/>
    <s v="Sep-2024"/>
    <s v="2024-09"/>
    <n v="60"/>
    <n v="70"/>
    <s v="Below Min(Bargain)"/>
    <n v="10"/>
  </r>
  <r>
    <x v="10"/>
    <n v="700"/>
    <s v="Repeat"/>
    <x v="0"/>
    <s v="Sep-2024"/>
    <s v="2024-09"/>
    <n v="700"/>
    <n v="700"/>
    <s v="Within Range"/>
    <n v="0"/>
  </r>
  <r>
    <x v="10"/>
    <n v="700"/>
    <s v="Repeat"/>
    <x v="0"/>
    <s v="Sep-2024"/>
    <s v="2024-09"/>
    <n v="700"/>
    <n v="700"/>
    <s v="Within Range"/>
    <n v="0"/>
  </r>
  <r>
    <x v="2"/>
    <n v="850"/>
    <s v="Repeat"/>
    <x v="0"/>
    <s v="Sep-2024"/>
    <s v="2024-09"/>
    <n v="800"/>
    <n v="800"/>
    <s v="Above Max"/>
    <n v="0"/>
  </r>
  <r>
    <x v="7"/>
    <n v="420"/>
    <s v="Repeat"/>
    <x v="0"/>
    <s v="Sep-2024"/>
    <s v="2024-09"/>
    <n v="500"/>
    <n v="500"/>
    <s v="Below Min(Bargain)"/>
    <n v="80"/>
  </r>
  <r>
    <x v="0"/>
    <n v="50"/>
    <s v="Repeat"/>
    <x v="0"/>
    <s v="Sep-2024"/>
    <s v="2024-09"/>
    <n v="60"/>
    <n v="70"/>
    <s v="Below Min(Bargain)"/>
    <n v="10"/>
  </r>
  <r>
    <x v="23"/>
    <n v="700"/>
    <s v="Repeat"/>
    <x v="0"/>
    <s v="Sep-2024"/>
    <s v="2024-09"/>
    <n v="700"/>
    <n v="700"/>
    <s v="Within Range"/>
    <n v="0"/>
  </r>
  <r>
    <x v="23"/>
    <n v="700"/>
    <s v="Repeat"/>
    <x v="0"/>
    <s v="Sep-2024"/>
    <s v="2024-09"/>
    <n v="700"/>
    <n v="700"/>
    <s v="Within Range"/>
    <n v="0"/>
  </r>
  <r>
    <x v="0"/>
    <n v="50"/>
    <s v="Repeat"/>
    <x v="0"/>
    <s v="Sep-2024"/>
    <s v="2024-09"/>
    <n v="60"/>
    <n v="70"/>
    <s v="Below Min(Bargain)"/>
    <n v="10"/>
  </r>
  <r>
    <x v="0"/>
    <n v="50"/>
    <s v="Repeat"/>
    <x v="0"/>
    <s v="Sep-2024"/>
    <s v="2024-09"/>
    <n v="60"/>
    <n v="70"/>
    <s v="Below Min(Bargain)"/>
    <n v="10"/>
  </r>
  <r>
    <x v="0"/>
    <n v="60"/>
    <s v="Repeat"/>
    <x v="0"/>
    <s v="Sep-2024"/>
    <s v="2024-09"/>
    <n v="60"/>
    <n v="70"/>
    <s v="Within Range"/>
    <n v="0"/>
  </r>
  <r>
    <x v="24"/>
    <n v="1200"/>
    <s v="Repeat"/>
    <x v="0"/>
    <s v="Sep-2024"/>
    <s v="2024-09"/>
    <n v="2000"/>
    <n v="2000"/>
    <s v="Below Min(Bargain)"/>
    <n v="800"/>
  </r>
  <r>
    <x v="4"/>
    <n v="300"/>
    <s v="Repeat"/>
    <x v="0"/>
    <s v="Sep-2024"/>
    <s v="2024-09"/>
    <n v="350"/>
    <n v="500"/>
    <s v="Below Min(Bargain)"/>
    <n v="50"/>
  </r>
  <r>
    <x v="0"/>
    <n v="50"/>
    <s v="Repeat"/>
    <x v="0"/>
    <s v="Sep-2024"/>
    <s v="2024-09"/>
    <n v="60"/>
    <n v="70"/>
    <s v="Below Min(Bargain)"/>
    <n v="10"/>
  </r>
  <r>
    <x v="0"/>
    <n v="50"/>
    <s v="New"/>
    <x v="0"/>
    <s v="Sep-2024"/>
    <s v="2024-09"/>
    <n v="60"/>
    <n v="70"/>
    <s v="Below Min(Bargain)"/>
    <n v="10"/>
  </r>
  <r>
    <x v="25"/>
    <n v="150"/>
    <s v="New"/>
    <x v="0"/>
    <s v="Sep-2024"/>
    <s v="2024-09"/>
    <n v="70"/>
    <n v="140"/>
    <s v="Above Max"/>
    <n v="0"/>
  </r>
  <r>
    <x v="21"/>
    <n v="120"/>
    <s v="Repeat"/>
    <x v="0"/>
    <s v="Sep-2024"/>
    <s v="2024-09"/>
    <n v="150"/>
    <n v="200"/>
    <s v="Below Min(Bargain)"/>
    <n v="30"/>
  </r>
  <r>
    <x v="26"/>
    <n v="800"/>
    <s v="Repeat"/>
    <x v="0"/>
    <s v="Sep-2024"/>
    <s v="2024-09"/>
    <n v="700"/>
    <n v="700"/>
    <s v="Above Max"/>
    <n v="0"/>
  </r>
  <r>
    <x v="11"/>
    <n v="300"/>
    <s v="New"/>
    <x v="0"/>
    <s v="Sep-2024"/>
    <s v="2024-09"/>
    <n v="300"/>
    <n v="300"/>
    <s v="Within Range"/>
    <n v="0"/>
  </r>
  <r>
    <x v="0"/>
    <n v="50"/>
    <s v="Repeat"/>
    <x v="0"/>
    <s v="Sep-2024"/>
    <s v="2024-09"/>
    <n v="60"/>
    <n v="70"/>
    <s v="Below Min(Bargain)"/>
    <n v="10"/>
  </r>
  <r>
    <x v="6"/>
    <n v="700"/>
    <s v="Repeat"/>
    <x v="0"/>
    <s v="Sep-2024"/>
    <s v="2024-09"/>
    <n v="800"/>
    <n v="1000"/>
    <s v="Below Min(Bargain)"/>
    <n v="100"/>
  </r>
  <r>
    <x v="25"/>
    <n v="100"/>
    <s v="Repeat"/>
    <x v="0"/>
    <s v="Sep-2024"/>
    <s v="2024-09"/>
    <n v="70"/>
    <n v="140"/>
    <s v="Within Range"/>
    <n v="0"/>
  </r>
  <r>
    <x v="25"/>
    <n v="100"/>
    <s v="Repeat"/>
    <x v="0"/>
    <s v="Sep-2024"/>
    <s v="2024-09"/>
    <n v="70"/>
    <n v="140"/>
    <s v="Within Range"/>
    <n v="0"/>
  </r>
  <r>
    <x v="6"/>
    <n v="800"/>
    <s v="Repeat"/>
    <x v="0"/>
    <s v="Sep-2024"/>
    <s v="2024-09"/>
    <n v="800"/>
    <n v="1000"/>
    <s v="Within Range"/>
    <n v="0"/>
  </r>
  <r>
    <x v="0"/>
    <n v="50"/>
    <s v="New"/>
    <x v="0"/>
    <s v="Sep-2024"/>
    <s v="2024-09"/>
    <n v="60"/>
    <n v="70"/>
    <s v="Below Min(Bargain)"/>
    <n v="10"/>
  </r>
  <r>
    <x v="18"/>
    <n v="870"/>
    <s v="New"/>
    <x v="0"/>
    <s v="Sep-2024"/>
    <s v="2024-09"/>
    <n v="900"/>
    <n v="900"/>
    <s v="Below Min(Bargain)"/>
    <n v="30"/>
  </r>
  <r>
    <x v="0"/>
    <n v="80"/>
    <s v="Repeat"/>
    <x v="0"/>
    <s v="Sep-2024"/>
    <s v="2024-09"/>
    <n v="60"/>
    <n v="70"/>
    <s v="Above Max"/>
    <n v="0"/>
  </r>
  <r>
    <x v="25"/>
    <n v="100"/>
    <s v="Repeat"/>
    <x v="0"/>
    <s v="Sep-2024"/>
    <s v="2024-09"/>
    <n v="70"/>
    <n v="140"/>
    <s v="Within Range"/>
    <n v="0"/>
  </r>
  <r>
    <x v="10"/>
    <n v="350"/>
    <s v="Repeat"/>
    <x v="0"/>
    <s v="Sep-2024"/>
    <s v="2024-09"/>
    <n v="700"/>
    <n v="700"/>
    <s v="Below Min(Bargain)"/>
    <n v="350"/>
  </r>
  <r>
    <x v="0"/>
    <n v="50"/>
    <s v="Repeat"/>
    <x v="0"/>
    <s v="Sep-2024"/>
    <s v="2024-09"/>
    <n v="60"/>
    <n v="70"/>
    <s v="Below Min(Bargain)"/>
    <n v="10"/>
  </r>
  <r>
    <x v="14"/>
    <n v="200"/>
    <s v="New"/>
    <x v="0"/>
    <s v="Sep-2024"/>
    <s v="2024-09"/>
    <n v="250"/>
    <n v="250"/>
    <s v="Below Min(Bargain)"/>
    <n v="50"/>
  </r>
  <r>
    <x v="10"/>
    <n v="400"/>
    <s v="Repeat"/>
    <x v="0"/>
    <s v="Oct-2024"/>
    <s v="2024-10"/>
    <n v="700"/>
    <n v="700"/>
    <s v="Below Min(Bargain)"/>
    <n v="300"/>
  </r>
  <r>
    <x v="0"/>
    <n v="150"/>
    <s v="Repeat"/>
    <x v="0"/>
    <s v="Oct-2024"/>
    <s v="2024-10"/>
    <n v="60"/>
    <n v="70"/>
    <s v="Above Max"/>
    <n v="0"/>
  </r>
  <r>
    <x v="27"/>
    <n v="500"/>
    <s v="Repeat"/>
    <x v="0"/>
    <s v="Oct-2024"/>
    <s v="2024-10"/>
    <n v="600"/>
    <n v="600"/>
    <s v="Below Min(Bargain)"/>
    <n v="100"/>
  </r>
  <r>
    <x v="0"/>
    <n v="50"/>
    <s v="Repeat"/>
    <x v="0"/>
    <s v="Oct-2024"/>
    <s v="2024-10"/>
    <n v="60"/>
    <n v="70"/>
    <s v="Below Min(Bargain)"/>
    <n v="10"/>
  </r>
  <r>
    <x v="0"/>
    <n v="200"/>
    <s v="Repeat"/>
    <x v="0"/>
    <s v="Oct-2024"/>
    <s v="2024-10"/>
    <n v="60"/>
    <n v="70"/>
    <s v="Above Max"/>
    <n v="0"/>
  </r>
  <r>
    <x v="0"/>
    <n v="100"/>
    <s v="New"/>
    <x v="0"/>
    <s v="Oct-2024"/>
    <s v="2024-10"/>
    <n v="60"/>
    <n v="70"/>
    <s v="Above Max"/>
    <n v="0"/>
  </r>
  <r>
    <x v="6"/>
    <n v="750"/>
    <s v="New"/>
    <x v="0"/>
    <s v="Oct-2024"/>
    <s v="2024-10"/>
    <n v="800"/>
    <n v="1000"/>
    <s v="Below Min(Bargain)"/>
    <n v="50"/>
  </r>
  <r>
    <x v="0"/>
    <n v="50"/>
    <s v="Repeat"/>
    <x v="0"/>
    <s v="Oct-2024"/>
    <s v="2024-10"/>
    <n v="60"/>
    <n v="70"/>
    <s v="Below Min(Bargain)"/>
    <n v="10"/>
  </r>
  <r>
    <x v="0"/>
    <n v="50"/>
    <s v="Repeat"/>
    <x v="0"/>
    <s v="Oct-2024"/>
    <s v="2024-10"/>
    <n v="60"/>
    <n v="70"/>
    <s v="Below Min(Bargain)"/>
    <n v="10"/>
  </r>
  <r>
    <x v="0"/>
    <n v="120"/>
    <s v="Repeat"/>
    <x v="0"/>
    <s v="Oct-2024"/>
    <s v="2024-10"/>
    <n v="60"/>
    <n v="70"/>
    <s v="Above Max"/>
    <n v="0"/>
  </r>
  <r>
    <x v="25"/>
    <n v="270"/>
    <s v="Repeat"/>
    <x v="0"/>
    <s v="Oct-2024"/>
    <s v="2024-10"/>
    <n v="70"/>
    <n v="140"/>
    <s v="Above Max"/>
    <n v="0"/>
  </r>
  <r>
    <x v="3"/>
    <n v="700"/>
    <s v="Repeat"/>
    <x v="0"/>
    <s v="Oct-2024"/>
    <s v="2024-10"/>
    <n v="350"/>
    <n v="700"/>
    <s v="Within Range"/>
    <n v="0"/>
  </r>
  <r>
    <x v="0"/>
    <n v="50"/>
    <s v="Repeat"/>
    <x v="0"/>
    <s v="Oct-2024"/>
    <s v="2024-10"/>
    <n v="60"/>
    <n v="70"/>
    <s v="Below Min(Bargain)"/>
    <n v="10"/>
  </r>
  <r>
    <x v="19"/>
    <n v="500"/>
    <s v="Repeat"/>
    <x v="0"/>
    <s v="Oct-2024"/>
    <s v="2024-10"/>
    <n v="400"/>
    <n v="400"/>
    <s v="Above Max"/>
    <n v="0"/>
  </r>
  <r>
    <x v="0"/>
    <n v="150"/>
    <s v="Repeat"/>
    <x v="0"/>
    <s v="Oct-2024"/>
    <s v="2024-10"/>
    <n v="60"/>
    <n v="70"/>
    <s v="Above Max"/>
    <n v="0"/>
  </r>
  <r>
    <x v="6"/>
    <n v="800"/>
    <s v="Repeat"/>
    <x v="0"/>
    <s v="Oct-2024"/>
    <s v="2024-10"/>
    <n v="800"/>
    <n v="1000"/>
    <s v="Within Range"/>
    <n v="0"/>
  </r>
  <r>
    <x v="25"/>
    <n v="50"/>
    <s v="Repeat"/>
    <x v="0"/>
    <s v="Oct-2024"/>
    <s v="2024-10"/>
    <n v="70"/>
    <n v="140"/>
    <s v="Below Min(Bargain)"/>
    <n v="20"/>
  </r>
  <r>
    <x v="6"/>
    <n v="650"/>
    <s v="Repeat"/>
    <x v="0"/>
    <s v="Oct-2024"/>
    <s v="2024-10"/>
    <n v="800"/>
    <n v="1000"/>
    <s v="Below Min(Bargain)"/>
    <n v="150"/>
  </r>
  <r>
    <x v="7"/>
    <n v="400"/>
    <s v="Repeat"/>
    <x v="0"/>
    <s v="Oct-2024"/>
    <s v="2024-10"/>
    <n v="500"/>
    <n v="500"/>
    <s v="Below Min(Bargain)"/>
    <n v="100"/>
  </r>
  <r>
    <x v="25"/>
    <n v="100"/>
    <s v="Repeat"/>
    <x v="0"/>
    <s v="Oct-2024"/>
    <s v="2024-10"/>
    <n v="70"/>
    <n v="140"/>
    <s v="Within Range"/>
    <n v="0"/>
  </r>
  <r>
    <x v="28"/>
    <n v="800"/>
    <s v="Repeat"/>
    <x v="0"/>
    <s v="Oct-2024"/>
    <s v="2024-10"/>
    <n v="850"/>
    <n v="850"/>
    <s v="Below Min(Bargain)"/>
    <n v="50"/>
  </r>
  <r>
    <x v="28"/>
    <n v="800"/>
    <s v="Repeat"/>
    <x v="0"/>
    <s v="Oct-2024"/>
    <s v="2024-10"/>
    <n v="850"/>
    <n v="850"/>
    <s v="Below Min(Bargain)"/>
    <n v="50"/>
  </r>
  <r>
    <x v="28"/>
    <n v="800"/>
    <s v="Repeat"/>
    <x v="0"/>
    <s v="Oct-2024"/>
    <s v="2024-10"/>
    <n v="850"/>
    <n v="850"/>
    <s v="Below Min(Bargain)"/>
    <n v="50"/>
  </r>
  <r>
    <x v="28"/>
    <n v="800"/>
    <s v="Repeat"/>
    <x v="0"/>
    <s v="Oct-2024"/>
    <s v="2024-10"/>
    <n v="850"/>
    <n v="850"/>
    <s v="Below Min(Bargain)"/>
    <n v="50"/>
  </r>
  <r>
    <x v="0"/>
    <n v="90"/>
    <s v="Repeat"/>
    <x v="0"/>
    <s v="Oct-2024"/>
    <s v="2024-10"/>
    <n v="60"/>
    <n v="70"/>
    <s v="Above Max"/>
    <n v="0"/>
  </r>
  <r>
    <x v="0"/>
    <n v="50"/>
    <s v="Repeat"/>
    <x v="0"/>
    <s v="Oct-2024"/>
    <s v="2024-10"/>
    <n v="60"/>
    <n v="70"/>
    <s v="Below Min(Bargain)"/>
    <n v="10"/>
  </r>
  <r>
    <x v="29"/>
    <n v="2000"/>
    <s v="New"/>
    <x v="0"/>
    <s v="Oct-2024"/>
    <s v="2024-10"/>
    <n v="1500"/>
    <n v="2000"/>
    <s v="Within Range"/>
    <n v="0"/>
  </r>
  <r>
    <x v="30"/>
    <n v="7000"/>
    <s v="Repeat"/>
    <x v="0"/>
    <s v="Oct-2024"/>
    <s v="2024-10"/>
    <n v="5000"/>
    <n v="12000"/>
    <s v="Within Range"/>
    <n v="0"/>
  </r>
  <r>
    <x v="3"/>
    <n v="750"/>
    <s v="New"/>
    <x v="0"/>
    <s v="Oct-2024"/>
    <s v="2024-10"/>
    <n v="350"/>
    <n v="700"/>
    <s v="Above Max"/>
    <n v="0"/>
  </r>
  <r>
    <x v="0"/>
    <n v="50"/>
    <s v="New"/>
    <x v="0"/>
    <s v="Oct-2024"/>
    <s v="2024-10"/>
    <n v="60"/>
    <n v="70"/>
    <s v="Below Min(Bargain)"/>
    <n v="10"/>
  </r>
  <r>
    <x v="9"/>
    <n v="1000"/>
    <s v="Repeat"/>
    <x v="0"/>
    <s v="Oct-2024"/>
    <s v="2024-10"/>
    <n v="1100"/>
    <n v="1100"/>
    <s v="Below Min(Bargain)"/>
    <n v="100"/>
  </r>
  <r>
    <x v="0"/>
    <n v="100"/>
    <s v="Repeat"/>
    <x v="0"/>
    <s v="Oct-2024"/>
    <s v="2024-10"/>
    <n v="60"/>
    <n v="70"/>
    <s v="Above Max"/>
    <n v="0"/>
  </r>
  <r>
    <x v="31"/>
    <n v="300"/>
    <s v="Repeat"/>
    <x v="0"/>
    <s v="Oct-2024"/>
    <s v="2024-10"/>
    <n v="300"/>
    <n v="500"/>
    <s v="Within Range"/>
    <n v="0"/>
  </r>
  <r>
    <x v="0"/>
    <n v="70"/>
    <s v="New"/>
    <x v="0"/>
    <s v="Oct-2024"/>
    <s v="2024-10"/>
    <n v="60"/>
    <n v="70"/>
    <s v="Within Range"/>
    <n v="0"/>
  </r>
  <r>
    <x v="0"/>
    <n v="200"/>
    <s v="Repeat"/>
    <x v="0"/>
    <s v="Oct-2024"/>
    <s v="2024-10"/>
    <n v="60"/>
    <n v="70"/>
    <s v="Above Max"/>
    <n v="0"/>
  </r>
  <r>
    <x v="0"/>
    <n v="50"/>
    <s v="Repeat"/>
    <x v="0"/>
    <s v="Oct-2024"/>
    <s v="2024-10"/>
    <n v="60"/>
    <n v="70"/>
    <s v="Below Min(Bargain)"/>
    <n v="10"/>
  </r>
  <r>
    <x v="4"/>
    <n v="350"/>
    <s v="Repeat"/>
    <x v="0"/>
    <s v="Oct-2024"/>
    <s v="2024-10"/>
    <n v="350"/>
    <n v="500"/>
    <s v="Within Range"/>
    <n v="0"/>
  </r>
  <r>
    <x v="8"/>
    <n v="350"/>
    <s v="Repeat"/>
    <x v="0"/>
    <s v="Oct-2024"/>
    <s v="2024-10"/>
    <n v="500"/>
    <n v="500"/>
    <s v="Below Min(Bargain)"/>
    <n v="150"/>
  </r>
  <r>
    <x v="6"/>
    <n v="750"/>
    <s v="Repeat"/>
    <x v="0"/>
    <s v="Oct-2024"/>
    <s v="2024-10"/>
    <n v="800"/>
    <n v="1000"/>
    <s v="Below Min(Bargain)"/>
    <n v="50"/>
  </r>
  <r>
    <x v="6"/>
    <n v="750"/>
    <s v="Repeat"/>
    <x v="0"/>
    <s v="Oct-2024"/>
    <s v="2024-10"/>
    <n v="800"/>
    <n v="1000"/>
    <s v="Below Min(Bargain)"/>
    <n v="50"/>
  </r>
  <r>
    <x v="20"/>
    <n v="1000"/>
    <s v="Repeat"/>
    <x v="0"/>
    <s v="Oct-2024"/>
    <s v="2024-10"/>
    <n v="1000"/>
    <n v="1000"/>
    <s v="Within Range"/>
    <n v="0"/>
  </r>
  <r>
    <x v="0"/>
    <n v="50"/>
    <s v="Repeat"/>
    <x v="0"/>
    <s v="Oct-2024"/>
    <s v="2024-10"/>
    <n v="60"/>
    <n v="70"/>
    <s v="Below Min(Bargain)"/>
    <n v="10"/>
  </r>
  <r>
    <x v="9"/>
    <n v="1000"/>
    <s v="New"/>
    <x v="0"/>
    <s v="Oct-2024"/>
    <s v="2024-10"/>
    <n v="1100"/>
    <n v="1100"/>
    <s v="Below Min(Bargain)"/>
    <n v="100"/>
  </r>
  <r>
    <x v="0"/>
    <n v="170"/>
    <s v="New"/>
    <x v="0"/>
    <s v="Oct-2024"/>
    <s v="2024-10"/>
    <n v="60"/>
    <n v="70"/>
    <s v="Above Max"/>
    <n v="0"/>
  </r>
  <r>
    <x v="32"/>
    <n v="620"/>
    <s v="Repeat"/>
    <x v="0"/>
    <s v="Nov-2024"/>
    <s v="2024-11"/>
    <n v="3000"/>
    <n v="7000"/>
    <s v="Below Min(Bargain)"/>
    <n v="2380"/>
  </r>
  <r>
    <x v="25"/>
    <n v="100"/>
    <s v="New"/>
    <x v="0"/>
    <s v="Nov-2024"/>
    <s v="2024-11"/>
    <n v="70"/>
    <n v="140"/>
    <s v="Within Range"/>
    <n v="0"/>
  </r>
  <r>
    <x v="0"/>
    <n v="50"/>
    <s v="New"/>
    <x v="0"/>
    <s v="Nov-2024"/>
    <s v="2024-11"/>
    <n v="60"/>
    <n v="70"/>
    <s v="Below Min(Bargain)"/>
    <n v="10"/>
  </r>
  <r>
    <x v="20"/>
    <n v="520"/>
    <s v="New"/>
    <x v="0"/>
    <s v="Nov-2024"/>
    <s v="2024-11"/>
    <n v="1000"/>
    <n v="1000"/>
    <s v="Below Min(Bargain)"/>
    <n v="480"/>
  </r>
  <r>
    <x v="6"/>
    <n v="700"/>
    <s v="Repeat"/>
    <x v="0"/>
    <s v="Nov-2024"/>
    <s v="2024-11"/>
    <n v="800"/>
    <n v="1000"/>
    <s v="Below Min(Bargain)"/>
    <n v="100"/>
  </r>
  <r>
    <x v="19"/>
    <n v="400"/>
    <s v="Repeat"/>
    <x v="0"/>
    <s v="Nov-2024"/>
    <s v="2024-11"/>
    <n v="400"/>
    <n v="400"/>
    <s v="Within Range"/>
    <n v="0"/>
  </r>
  <r>
    <x v="6"/>
    <n v="900"/>
    <s v="Repeat"/>
    <x v="0"/>
    <s v="Nov-2024"/>
    <s v="2024-11"/>
    <n v="800"/>
    <n v="1000"/>
    <s v="Within Range"/>
    <n v="0"/>
  </r>
  <r>
    <x v="5"/>
    <n v="300"/>
    <s v="Repeat"/>
    <x v="0"/>
    <s v="Nov-2024"/>
    <s v="2024-11"/>
    <n v="350"/>
    <n v="350"/>
    <s v="Below Min(Bargain)"/>
    <n v="50"/>
  </r>
  <r>
    <x v="0"/>
    <n v="50"/>
    <s v="New"/>
    <x v="0"/>
    <s v="Nov-2024"/>
    <s v="2024-11"/>
    <n v="60"/>
    <n v="70"/>
    <s v="Below Min(Bargain)"/>
    <n v="10"/>
  </r>
  <r>
    <x v="0"/>
    <n v="100"/>
    <s v="Repeat"/>
    <x v="0"/>
    <s v="Nov-2024"/>
    <s v="2024-11"/>
    <n v="60"/>
    <n v="70"/>
    <s v="Above Max"/>
    <n v="0"/>
  </r>
  <r>
    <x v="0"/>
    <n v="100"/>
    <s v="Repeat"/>
    <x v="0"/>
    <s v="Nov-2024"/>
    <s v="2024-11"/>
    <n v="60"/>
    <n v="70"/>
    <s v="Above Max"/>
    <n v="0"/>
  </r>
  <r>
    <x v="4"/>
    <n v="400"/>
    <s v="Repeat"/>
    <x v="0"/>
    <s v="Nov-2024"/>
    <s v="2024-11"/>
    <n v="350"/>
    <n v="500"/>
    <s v="Within Range"/>
    <n v="0"/>
  </r>
  <r>
    <x v="33"/>
    <n v="1000"/>
    <s v="Repeat"/>
    <x v="0"/>
    <s v="Nov-2024"/>
    <s v="2024-11"/>
    <n v="1100"/>
    <n v="1100"/>
    <s v="Below Min(Bargain)"/>
    <n v="100"/>
  </r>
  <r>
    <x v="0"/>
    <n v="50"/>
    <s v="Repeat"/>
    <x v="0"/>
    <s v="Nov-2024"/>
    <s v="2024-11"/>
    <n v="60"/>
    <n v="70"/>
    <s v="Below Min(Bargain)"/>
    <n v="10"/>
  </r>
  <r>
    <x v="23"/>
    <n v="600"/>
    <s v="New"/>
    <x v="0"/>
    <s v="Nov-2024"/>
    <s v="2024-11"/>
    <n v="700"/>
    <n v="700"/>
    <s v="Below Min(Bargain)"/>
    <n v="100"/>
  </r>
  <r>
    <x v="31"/>
    <n v="350"/>
    <s v="Repeat"/>
    <x v="0"/>
    <s v="Nov-2024"/>
    <s v="2024-11"/>
    <n v="300"/>
    <n v="500"/>
    <s v="Within Range"/>
    <n v="0"/>
  </r>
  <r>
    <x v="5"/>
    <n v="350"/>
    <s v="Repeat"/>
    <x v="0"/>
    <s v="Nov-2024"/>
    <s v="2024-11"/>
    <n v="350"/>
    <n v="350"/>
    <s v="Within Range"/>
    <n v="0"/>
  </r>
  <r>
    <x v="0"/>
    <n v="100"/>
    <s v="New"/>
    <x v="0"/>
    <s v="Nov-2024"/>
    <s v="2024-11"/>
    <n v="60"/>
    <n v="70"/>
    <s v="Above Max"/>
    <n v="0"/>
  </r>
  <r>
    <x v="0"/>
    <n v="150"/>
    <s v="Repeat"/>
    <x v="0"/>
    <s v="Nov-2024"/>
    <s v="2024-11"/>
    <n v="60"/>
    <n v="70"/>
    <s v="Above Max"/>
    <n v="0"/>
  </r>
  <r>
    <x v="0"/>
    <n v="100"/>
    <s v="New"/>
    <x v="0"/>
    <s v="Nov-2024"/>
    <s v="2024-11"/>
    <n v="60"/>
    <n v="70"/>
    <s v="Above Max"/>
    <n v="0"/>
  </r>
  <r>
    <x v="7"/>
    <n v="500"/>
    <s v="Repeat"/>
    <x v="0"/>
    <s v="Nov-2024"/>
    <s v="2024-11"/>
    <n v="500"/>
    <n v="500"/>
    <s v="Within Range"/>
    <n v="0"/>
  </r>
  <r>
    <x v="6"/>
    <n v="650"/>
    <s v="Repeat"/>
    <x v="0"/>
    <s v="Nov-2024"/>
    <s v="2024-11"/>
    <n v="800"/>
    <n v="1000"/>
    <s v="Below Min(Bargain)"/>
    <n v="150"/>
  </r>
  <r>
    <x v="34"/>
    <n v="800"/>
    <s v="Repeat"/>
    <x v="0"/>
    <s v="Nov-2024"/>
    <s v="2024-11"/>
    <n v="800"/>
    <n v="800"/>
    <s v="Within Range"/>
    <n v="0"/>
  </r>
  <r>
    <x v="6"/>
    <n v="900"/>
    <s v="Repeat"/>
    <x v="0"/>
    <s v="Nov-2024"/>
    <s v="2024-11"/>
    <n v="800"/>
    <n v="1000"/>
    <s v="Within Range"/>
    <n v="0"/>
  </r>
  <r>
    <x v="13"/>
    <n v="250"/>
    <s v="Repeat"/>
    <x v="0"/>
    <s v="Nov-2024"/>
    <s v="2024-11"/>
    <n v="300"/>
    <n v="300"/>
    <s v="Below Min(Bargain)"/>
    <n v="50"/>
  </r>
  <r>
    <x v="35"/>
    <n v="250"/>
    <s v="Repeat"/>
    <x v="0"/>
    <s v="Nov-2024"/>
    <s v="2024-11"/>
    <n v="300"/>
    <n v="300"/>
    <s v="Below Min(Bargain)"/>
    <n v="50"/>
  </r>
  <r>
    <x v="7"/>
    <n v="450"/>
    <s v="Repeat"/>
    <x v="0"/>
    <s v="Nov-2024"/>
    <s v="2024-11"/>
    <n v="500"/>
    <n v="500"/>
    <s v="Below Min(Bargain)"/>
    <n v="50"/>
  </r>
  <r>
    <x v="7"/>
    <n v="450"/>
    <s v="Repeat"/>
    <x v="0"/>
    <s v="Nov-2024"/>
    <s v="2024-11"/>
    <n v="500"/>
    <n v="500"/>
    <s v="Below Min(Bargain)"/>
    <n v="50"/>
  </r>
  <r>
    <x v="0"/>
    <n v="50"/>
    <s v="Repeat"/>
    <x v="0"/>
    <s v="Nov-2024"/>
    <s v="2024-11"/>
    <n v="60"/>
    <n v="70"/>
    <s v="Below Min(Bargain)"/>
    <n v="10"/>
  </r>
  <r>
    <x v="2"/>
    <n v="700"/>
    <s v="Repeat"/>
    <x v="0"/>
    <s v="Nov-2024"/>
    <s v="2024-11"/>
    <n v="800"/>
    <n v="800"/>
    <s v="Below Min(Bargain)"/>
    <n v="100"/>
  </r>
  <r>
    <x v="4"/>
    <n v="270"/>
    <s v="Repeat"/>
    <x v="0"/>
    <s v="Nov-2024"/>
    <s v="2024-11"/>
    <n v="350"/>
    <n v="500"/>
    <s v="Below Min(Bargain)"/>
    <n v="80"/>
  </r>
  <r>
    <x v="0"/>
    <n v="50"/>
    <s v="New"/>
    <x v="0"/>
    <s v="Nov-2024"/>
    <s v="2024-11"/>
    <n v="60"/>
    <n v="70"/>
    <s v="Below Min(Bargain)"/>
    <n v="10"/>
  </r>
  <r>
    <x v="0"/>
    <n v="70"/>
    <s v="Repeat"/>
    <x v="0"/>
    <s v="Nov-2024"/>
    <s v="2024-11"/>
    <n v="60"/>
    <n v="70"/>
    <s v="Within Range"/>
    <n v="0"/>
  </r>
  <r>
    <x v="0"/>
    <n v="50"/>
    <s v="New"/>
    <x v="0"/>
    <s v="Nov-2024"/>
    <s v="2024-11"/>
    <n v="60"/>
    <n v="70"/>
    <s v="Below Min(Bargain)"/>
    <n v="10"/>
  </r>
  <r>
    <x v="12"/>
    <n v="900"/>
    <s v="Repeat"/>
    <x v="0"/>
    <s v="Nov-2024"/>
    <s v="2024-11"/>
    <n v="1000"/>
    <n v="1000"/>
    <s v="Below Min(Bargain)"/>
    <n v="100"/>
  </r>
  <r>
    <x v="0"/>
    <n v="50"/>
    <s v="Repeat"/>
    <x v="0"/>
    <s v="Nov-2024"/>
    <s v="2024-11"/>
    <n v="60"/>
    <n v="70"/>
    <s v="Below Min(Bargain)"/>
    <n v="10"/>
  </r>
  <r>
    <x v="12"/>
    <n v="900"/>
    <s v="New"/>
    <x v="0"/>
    <s v="Nov-2024"/>
    <s v="2024-11"/>
    <n v="1000"/>
    <n v="1000"/>
    <s v="Below Min(Bargain)"/>
    <n v="100"/>
  </r>
  <r>
    <x v="0"/>
    <n v="50"/>
    <s v="Repeat"/>
    <x v="0"/>
    <s v="Nov-2024"/>
    <s v="2024-11"/>
    <n v="60"/>
    <n v="70"/>
    <s v="Below Min(Bargain)"/>
    <n v="10"/>
  </r>
  <r>
    <x v="3"/>
    <n v="350"/>
    <s v="Repeat"/>
    <x v="0"/>
    <s v="Nov-2024"/>
    <s v="2024-11"/>
    <n v="350"/>
    <n v="700"/>
    <s v="Within Range"/>
    <n v="0"/>
  </r>
  <r>
    <x v="3"/>
    <n v="350"/>
    <s v="Repeat"/>
    <x v="0"/>
    <s v="Nov-2024"/>
    <s v="2024-11"/>
    <n v="350"/>
    <n v="700"/>
    <s v="Within Range"/>
    <n v="0"/>
  </r>
  <r>
    <x v="3"/>
    <n v="350"/>
    <s v="Repeat"/>
    <x v="0"/>
    <s v="Nov-2024"/>
    <s v="2024-11"/>
    <n v="350"/>
    <n v="700"/>
    <s v="Within Range"/>
    <n v="0"/>
  </r>
  <r>
    <x v="0"/>
    <n v="50"/>
    <s v="Repeat"/>
    <x v="0"/>
    <s v="Nov-2024"/>
    <s v="2024-11"/>
    <n v="60"/>
    <n v="70"/>
    <s v="Below Min(Bargain)"/>
    <n v="10"/>
  </r>
  <r>
    <x v="31"/>
    <n v="500"/>
    <s v="New"/>
    <x v="0"/>
    <s v="Nov-2024"/>
    <s v="2024-11"/>
    <n v="300"/>
    <n v="500"/>
    <s v="Within Range"/>
    <n v="0"/>
  </r>
  <r>
    <x v="31"/>
    <n v="500"/>
    <s v="Repeat"/>
    <x v="0"/>
    <s v="Dec-2024"/>
    <s v="2024-12"/>
    <n v="300"/>
    <n v="500"/>
    <s v="Within Range"/>
    <n v="0"/>
  </r>
  <r>
    <x v="0"/>
    <n v="70"/>
    <s v="Repeat"/>
    <x v="0"/>
    <s v="Dec-2024"/>
    <s v="2024-12"/>
    <n v="60"/>
    <n v="70"/>
    <s v="Within Range"/>
    <n v="0"/>
  </r>
  <r>
    <x v="6"/>
    <n v="750"/>
    <s v="Repeat"/>
    <x v="0"/>
    <s v="Dec-2024"/>
    <s v="2024-12"/>
    <n v="800"/>
    <n v="1000"/>
    <s v="Below Min(Bargain)"/>
    <n v="50"/>
  </r>
  <r>
    <x v="25"/>
    <n v="200"/>
    <s v="New"/>
    <x v="0"/>
    <s v="Dec-2024"/>
    <s v="2024-12"/>
    <n v="70"/>
    <n v="140"/>
    <s v="Above Max"/>
    <n v="0"/>
  </r>
  <r>
    <x v="25"/>
    <n v="100"/>
    <s v="Repeat"/>
    <x v="0"/>
    <s v="Dec-2024"/>
    <s v="2024-12"/>
    <n v="70"/>
    <n v="140"/>
    <s v="Within Range"/>
    <n v="0"/>
  </r>
  <r>
    <x v="18"/>
    <n v="900"/>
    <s v="Repeat"/>
    <x v="0"/>
    <s v="Dec-2024"/>
    <s v="2024-12"/>
    <n v="900"/>
    <n v="900"/>
    <s v="Within Range"/>
    <n v="0"/>
  </r>
  <r>
    <x v="2"/>
    <n v="700"/>
    <s v="New"/>
    <x v="0"/>
    <s v="Dec-2024"/>
    <s v="2024-12"/>
    <n v="800"/>
    <n v="800"/>
    <s v="Below Min(Bargain)"/>
    <n v="100"/>
  </r>
  <r>
    <x v="25"/>
    <n v="350"/>
    <s v="Repeat"/>
    <x v="0"/>
    <s v="Dec-2024"/>
    <s v="2024-12"/>
    <n v="70"/>
    <n v="140"/>
    <s v="Above Max"/>
    <n v="0"/>
  </r>
  <r>
    <x v="25"/>
    <n v="250"/>
    <s v="Repeat"/>
    <x v="0"/>
    <s v="Dec-2024"/>
    <s v="2024-12"/>
    <n v="70"/>
    <n v="140"/>
    <s v="Above Max"/>
    <n v="0"/>
  </r>
  <r>
    <x v="18"/>
    <n v="800"/>
    <s v="Repeat"/>
    <x v="0"/>
    <s v="Dec-2024"/>
    <s v="2024-12"/>
    <n v="900"/>
    <n v="900"/>
    <s v="Below Min(Bargain)"/>
    <n v="100"/>
  </r>
  <r>
    <x v="2"/>
    <n v="800"/>
    <s v="Repeat"/>
    <x v="0"/>
    <s v="Dec-2024"/>
    <s v="2024-12"/>
    <n v="800"/>
    <n v="800"/>
    <s v="Within Range"/>
    <n v="0"/>
  </r>
  <r>
    <x v="0"/>
    <n v="90"/>
    <s v="Repeat"/>
    <x v="0"/>
    <s v="Dec-2024"/>
    <s v="2024-12"/>
    <n v="60"/>
    <n v="70"/>
    <s v="Above Max"/>
    <n v="0"/>
  </r>
  <r>
    <x v="6"/>
    <n v="1000"/>
    <s v="Repeat"/>
    <x v="0"/>
    <s v="Dec-2024"/>
    <s v="2024-12"/>
    <n v="800"/>
    <n v="1000"/>
    <s v="Within Range"/>
    <n v="0"/>
  </r>
  <r>
    <x v="8"/>
    <n v="150"/>
    <s v="Repeat"/>
    <x v="0"/>
    <s v="Dec-2024"/>
    <s v="2024-12"/>
    <n v="500"/>
    <n v="500"/>
    <s v="Below Min(Bargain)"/>
    <n v="350"/>
  </r>
  <r>
    <x v="10"/>
    <n v="350"/>
    <s v="Repeat"/>
    <x v="0"/>
    <s v="Dec-2024"/>
    <s v="2024-12"/>
    <n v="700"/>
    <n v="700"/>
    <s v="Below Min(Bargain)"/>
    <n v="350"/>
  </r>
  <r>
    <x v="13"/>
    <n v="300"/>
    <s v="New"/>
    <x v="0"/>
    <s v="Dec-2024"/>
    <s v="2024-12"/>
    <n v="300"/>
    <n v="300"/>
    <s v="Within Range"/>
    <n v="0"/>
  </r>
  <r>
    <x v="25"/>
    <n v="100"/>
    <s v="Repeat"/>
    <x v="0"/>
    <s v="Dec-2024"/>
    <s v="2024-12"/>
    <n v="70"/>
    <n v="140"/>
    <s v="Within Range"/>
    <n v="0"/>
  </r>
  <r>
    <x v="4"/>
    <n v="500"/>
    <s v="Repeat"/>
    <x v="0"/>
    <s v="Dec-2024"/>
    <s v="2024-12"/>
    <n v="350"/>
    <n v="500"/>
    <s v="Within Range"/>
    <n v="0"/>
  </r>
  <r>
    <x v="25"/>
    <n v="100"/>
    <s v="Repeat"/>
    <x v="0"/>
    <s v="Dec-2024"/>
    <s v="2024-12"/>
    <n v="70"/>
    <n v="140"/>
    <s v="Within Range"/>
    <n v="0"/>
  </r>
  <r>
    <x v="10"/>
    <n v="550"/>
    <s v="Repeat"/>
    <x v="0"/>
    <s v="Dec-2024"/>
    <s v="2024-12"/>
    <n v="700"/>
    <n v="700"/>
    <s v="Below Min(Bargain)"/>
    <n v="150"/>
  </r>
  <r>
    <x v="7"/>
    <n v="500"/>
    <s v="Repeat"/>
    <x v="0"/>
    <s v="Dec-2024"/>
    <s v="2024-12"/>
    <n v="500"/>
    <n v="500"/>
    <s v="Within Range"/>
    <n v="0"/>
  </r>
  <r>
    <x v="2"/>
    <n v="800"/>
    <s v="Repeat"/>
    <x v="0"/>
    <s v="Dec-2024"/>
    <s v="2024-12"/>
    <n v="800"/>
    <n v="800"/>
    <s v="Within Range"/>
    <n v="0"/>
  </r>
  <r>
    <x v="0"/>
    <n v="70"/>
    <s v="Repeat"/>
    <x v="0"/>
    <s v="Dec-2024"/>
    <s v="2024-12"/>
    <n v="60"/>
    <n v="70"/>
    <s v="Within Range"/>
    <n v="0"/>
  </r>
  <r>
    <x v="0"/>
    <n v="50"/>
    <s v="Repeat"/>
    <x v="0"/>
    <s v="Dec-2024"/>
    <s v="2024-12"/>
    <n v="60"/>
    <n v="70"/>
    <s v="Below Min(Bargain)"/>
    <n v="10"/>
  </r>
  <r>
    <x v="0"/>
    <n v="50"/>
    <s v="Repeat"/>
    <x v="0"/>
    <s v="Dec-2024"/>
    <s v="2024-12"/>
    <n v="60"/>
    <n v="70"/>
    <s v="Below Min(Bargain)"/>
    <n v="10"/>
  </r>
  <r>
    <x v="0"/>
    <n v="750"/>
    <s v="Repeat"/>
    <x v="0"/>
    <s v="Dec-2024"/>
    <s v="2024-12"/>
    <n v="60"/>
    <n v="70"/>
    <s v="Above Max"/>
    <n v="0"/>
  </r>
  <r>
    <x v="6"/>
    <n v="850"/>
    <s v="Repeat"/>
    <x v="0"/>
    <s v="Dec-2024"/>
    <s v="2024-12"/>
    <n v="800"/>
    <n v="1000"/>
    <s v="Within Range"/>
    <n v="0"/>
  </r>
  <r>
    <x v="6"/>
    <n v="750"/>
    <s v="Repeat"/>
    <x v="0"/>
    <s v="Dec-2024"/>
    <s v="2024-12"/>
    <n v="800"/>
    <n v="1000"/>
    <s v="Below Min(Bargain)"/>
    <n v="50"/>
  </r>
  <r>
    <x v="0"/>
    <n v="50"/>
    <s v="Repeat"/>
    <x v="0"/>
    <s v="Dec-2024"/>
    <s v="2024-12"/>
    <n v="60"/>
    <n v="70"/>
    <s v="Below Min(Bargain)"/>
    <n v="10"/>
  </r>
  <r>
    <x v="25"/>
    <n v="100"/>
    <s v="New"/>
    <x v="0"/>
    <s v="Dec-2024"/>
    <s v="2024-12"/>
    <n v="70"/>
    <n v="140"/>
    <s v="Within Range"/>
    <n v="0"/>
  </r>
  <r>
    <x v="31"/>
    <n v="550"/>
    <s v="Repeat"/>
    <x v="0"/>
    <s v="Jan-2025"/>
    <s v="2025-01"/>
    <n v="300"/>
    <n v="500"/>
    <s v="Above Max"/>
    <n v="0"/>
  </r>
  <r>
    <x v="0"/>
    <n v="50"/>
    <s v="Repeat"/>
    <x v="0"/>
    <s v="Jan-2025"/>
    <s v="2025-01"/>
    <n v="60"/>
    <n v="70"/>
    <s v="Below Min(Bargain)"/>
    <n v="10"/>
  </r>
  <r>
    <x v="0"/>
    <n v="70"/>
    <s v="New"/>
    <x v="0"/>
    <s v="Jan-2025"/>
    <s v="2025-01"/>
    <n v="60"/>
    <n v="70"/>
    <s v="Within Range"/>
    <n v="0"/>
  </r>
  <r>
    <x v="6"/>
    <n v="1000"/>
    <s v="Repeat"/>
    <x v="0"/>
    <s v="Jan-2025"/>
    <s v="2025-01"/>
    <n v="800"/>
    <n v="1000"/>
    <s v="Within Range"/>
    <n v="0"/>
  </r>
  <r>
    <x v="6"/>
    <n v="750"/>
    <s v="Repeat"/>
    <x v="0"/>
    <s v="Jan-2025"/>
    <s v="2025-01"/>
    <n v="800"/>
    <n v="1000"/>
    <s v="Below Min(Bargain)"/>
    <n v="50"/>
  </r>
  <r>
    <x v="6"/>
    <n v="700"/>
    <s v="New"/>
    <x v="0"/>
    <s v="Jan-2025"/>
    <s v="2025-01"/>
    <n v="800"/>
    <n v="1000"/>
    <s v="Below Min(Bargain)"/>
    <n v="100"/>
  </r>
  <r>
    <x v="25"/>
    <n v="120"/>
    <s v="Repeat"/>
    <x v="0"/>
    <s v="Jan-2025"/>
    <s v="2025-01"/>
    <n v="70"/>
    <n v="140"/>
    <s v="Within Range"/>
    <n v="0"/>
  </r>
  <r>
    <x v="0"/>
    <n v="50"/>
    <s v="Repeat"/>
    <x v="0"/>
    <s v="Jan-2025"/>
    <s v="2025-01"/>
    <n v="60"/>
    <n v="70"/>
    <s v="Below Min(Bargain)"/>
    <n v="10"/>
  </r>
  <r>
    <x v="25"/>
    <n v="120"/>
    <s v="Repeat"/>
    <x v="0"/>
    <s v="Jan-2025"/>
    <s v="2025-01"/>
    <n v="70"/>
    <n v="140"/>
    <s v="Within Range"/>
    <n v="0"/>
  </r>
  <r>
    <x v="15"/>
    <n v="600"/>
    <s v="Repeat"/>
    <x v="0"/>
    <s v="Jan-2025"/>
    <s v="2025-01"/>
    <n v="3500"/>
    <n v="3500"/>
    <s v="Below Min(Bargain)"/>
    <n v="2900"/>
  </r>
  <r>
    <x v="3"/>
    <n v="350"/>
    <s v="New"/>
    <x v="0"/>
    <s v="Jan-2025"/>
    <s v="2025-01"/>
    <n v="350"/>
    <n v="700"/>
    <s v="Within Range"/>
    <n v="0"/>
  </r>
  <r>
    <x v="5"/>
    <n v="350"/>
    <s v="Repeat"/>
    <x v="0"/>
    <s v="Jan-2025"/>
    <s v="2025-01"/>
    <n v="350"/>
    <n v="350"/>
    <s v="Within Range"/>
    <n v="0"/>
  </r>
  <r>
    <x v="0"/>
    <n v="50"/>
    <s v="Repeat"/>
    <x v="0"/>
    <s v="Jan-2025"/>
    <s v="2025-01"/>
    <n v="60"/>
    <n v="70"/>
    <s v="Below Min(Bargain)"/>
    <n v="10"/>
  </r>
  <r>
    <x v="25"/>
    <n v="100"/>
    <s v="Repeat"/>
    <x v="0"/>
    <s v="Jan-2025"/>
    <s v="2025-01"/>
    <n v="70"/>
    <n v="140"/>
    <s v="Within Range"/>
    <n v="0"/>
  </r>
  <r>
    <x v="3"/>
    <n v="300"/>
    <s v="New"/>
    <x v="0"/>
    <s v="Jan-2025"/>
    <s v="2025-01"/>
    <n v="350"/>
    <n v="700"/>
    <s v="Below Min(Bargain)"/>
    <n v="50"/>
  </r>
  <r>
    <x v="36"/>
    <n v="400"/>
    <s v="Repeat"/>
    <x v="0"/>
    <s v="Jan-2025"/>
    <s v="2025-01"/>
    <n v="1000"/>
    <n v="1000"/>
    <s v="Below Min(Bargain)"/>
    <n v="600"/>
  </r>
  <r>
    <x v="23"/>
    <n v="700"/>
    <s v="Repeat"/>
    <x v="0"/>
    <s v="Jan-2025"/>
    <s v="2025-01"/>
    <n v="700"/>
    <n v="700"/>
    <s v="Within Range"/>
    <n v="0"/>
  </r>
  <r>
    <x v="27"/>
    <n v="600"/>
    <s v="Repeat"/>
    <x v="0"/>
    <s v="Jan-2025"/>
    <s v="2025-01"/>
    <n v="600"/>
    <n v="600"/>
    <s v="Within Range"/>
    <n v="0"/>
  </r>
  <r>
    <x v="0"/>
    <n v="50"/>
    <s v="Repeat"/>
    <x v="0"/>
    <s v="Jan-2025"/>
    <s v="2025-01"/>
    <n v="60"/>
    <n v="70"/>
    <s v="Below Min(Bargain)"/>
    <n v="10"/>
  </r>
  <r>
    <x v="6"/>
    <n v="900"/>
    <s v="Repeat"/>
    <x v="0"/>
    <s v="Jan-2025"/>
    <s v="2025-01"/>
    <n v="800"/>
    <n v="1000"/>
    <s v="Within Range"/>
    <n v="0"/>
  </r>
  <r>
    <x v="6"/>
    <n v="900"/>
    <s v="Repeat"/>
    <x v="0"/>
    <s v="Jan-2025"/>
    <s v="2025-01"/>
    <n v="800"/>
    <n v="1000"/>
    <s v="Within Range"/>
    <n v="0"/>
  </r>
  <r>
    <x v="9"/>
    <n v="1000"/>
    <s v="Repeat"/>
    <x v="0"/>
    <s v="Jan-2025"/>
    <s v="2025-01"/>
    <n v="1100"/>
    <n v="1100"/>
    <s v="Below Min(Bargain)"/>
    <n v="100"/>
  </r>
  <r>
    <x v="9"/>
    <n v="900"/>
    <s v="Repeat"/>
    <x v="0"/>
    <s v="Jan-2025"/>
    <s v="2025-01"/>
    <n v="1100"/>
    <n v="1100"/>
    <s v="Below Min(Bargain)"/>
    <n v="200"/>
  </r>
  <r>
    <x v="31"/>
    <n v="1000"/>
    <s v="Repeat"/>
    <x v="0"/>
    <s v="Jan-2025"/>
    <s v="2025-01"/>
    <n v="300"/>
    <n v="500"/>
    <s v="Above Max"/>
    <n v="0"/>
  </r>
  <r>
    <x v="0"/>
    <n v="50"/>
    <s v="Repeat"/>
    <x v="0"/>
    <s v="Jan-2025"/>
    <s v="2025-01"/>
    <n v="60"/>
    <n v="70"/>
    <s v="Below Min(Bargain)"/>
    <n v="10"/>
  </r>
  <r>
    <x v="34"/>
    <n v="800"/>
    <s v="Repeat"/>
    <x v="0"/>
    <s v="Jan-2025"/>
    <s v="2025-01"/>
    <n v="800"/>
    <n v="800"/>
    <s v="Within Range"/>
    <n v="0"/>
  </r>
  <r>
    <x v="15"/>
    <n v="500"/>
    <s v="Repeat"/>
    <x v="0"/>
    <s v="Jan-2025"/>
    <s v="2025-01"/>
    <n v="3500"/>
    <n v="3500"/>
    <s v="Below Min(Bargain)"/>
    <n v="3000"/>
  </r>
  <r>
    <x v="0"/>
    <n v="40"/>
    <s v="Repeat"/>
    <x v="0"/>
    <s v="Jan-2025"/>
    <s v="2025-01"/>
    <n v="60"/>
    <n v="70"/>
    <s v="Below Min(Bargain)"/>
    <n v="20"/>
  </r>
  <r>
    <x v="0"/>
    <n v="60"/>
    <s v="New"/>
    <x v="0"/>
    <s v="Jan-2025"/>
    <s v="2025-01"/>
    <n v="60"/>
    <n v="70"/>
    <s v="Within Range"/>
    <n v="0"/>
  </r>
  <r>
    <x v="0"/>
    <n v="60"/>
    <s v="Repeat"/>
    <x v="0"/>
    <s v="Jan-2025"/>
    <s v="2025-01"/>
    <n v="60"/>
    <n v="70"/>
    <s v="Within Range"/>
    <n v="0"/>
  </r>
  <r>
    <x v="25"/>
    <n v="100"/>
    <s v="Repeat"/>
    <x v="0"/>
    <s v="Jan-2025"/>
    <s v="2025-01"/>
    <n v="70"/>
    <n v="140"/>
    <s v="Within Range"/>
    <n v="0"/>
  </r>
  <r>
    <x v="25"/>
    <n v="120"/>
    <s v="Repeat"/>
    <x v="0"/>
    <s v="Jan-2025"/>
    <s v="2025-01"/>
    <n v="70"/>
    <n v="140"/>
    <s v="Within Range"/>
    <n v="0"/>
  </r>
  <r>
    <x v="0"/>
    <n v="80"/>
    <s v="Repeat"/>
    <x v="0"/>
    <s v="Jan-2025"/>
    <s v="2025-01"/>
    <n v="60"/>
    <n v="70"/>
    <s v="Above Max"/>
    <n v="0"/>
  </r>
  <r>
    <x v="0"/>
    <n v="60"/>
    <s v="Repeat"/>
    <x v="0"/>
    <s v="Jan-2025"/>
    <s v="2025-01"/>
    <n v="60"/>
    <n v="70"/>
    <s v="Within Range"/>
    <n v="0"/>
  </r>
  <r>
    <x v="0"/>
    <n v="80"/>
    <s v="Repeat"/>
    <x v="0"/>
    <s v="Jan-2025"/>
    <s v="2025-01"/>
    <n v="60"/>
    <n v="70"/>
    <s v="Above Max"/>
    <n v="0"/>
  </r>
  <r>
    <x v="36"/>
    <n v="500"/>
    <s v="Repeat"/>
    <x v="0"/>
    <s v="Jan-2025"/>
    <s v="2025-01"/>
    <n v="1000"/>
    <n v="1000"/>
    <s v="Below Min(Bargain)"/>
    <n v="500"/>
  </r>
  <r>
    <x v="0"/>
    <n v="60"/>
    <s v="Repeat"/>
    <x v="0"/>
    <s v="Jan-2025"/>
    <s v="2025-01"/>
    <n v="60"/>
    <n v="70"/>
    <s v="Within Range"/>
    <n v="0"/>
  </r>
  <r>
    <x v="7"/>
    <n v="400"/>
    <s v="Repeat"/>
    <x v="0"/>
    <s v="Jan-2025"/>
    <s v="2025-01"/>
    <n v="500"/>
    <n v="500"/>
    <s v="Below Min(Bargain)"/>
    <n v="100"/>
  </r>
  <r>
    <x v="0"/>
    <n v="60"/>
    <s v="New"/>
    <x v="0"/>
    <s v="Jan-2025"/>
    <s v="2025-01"/>
    <n v="60"/>
    <n v="70"/>
    <s v="Within Range"/>
    <n v="0"/>
  </r>
  <r>
    <x v="6"/>
    <n v="700"/>
    <s v="Repeat"/>
    <x v="0"/>
    <s v="Jan-2025"/>
    <s v="2025-01"/>
    <n v="800"/>
    <n v="1000"/>
    <s v="Below Min(Bargain)"/>
    <n v="100"/>
  </r>
  <r>
    <x v="7"/>
    <n v="450"/>
    <s v="Repeat"/>
    <x v="0"/>
    <s v="Jan-2025"/>
    <s v="2025-01"/>
    <n v="500"/>
    <n v="500"/>
    <s v="Below Min(Bargain)"/>
    <n v="50"/>
  </r>
  <r>
    <x v="5"/>
    <n v="350"/>
    <s v="Repeat"/>
    <x v="0"/>
    <s v="Jan-2025"/>
    <s v="2025-01"/>
    <n v="350"/>
    <n v="350"/>
    <s v="Within Range"/>
    <n v="0"/>
  </r>
  <r>
    <x v="33"/>
    <n v="1000"/>
    <s v="Repeat"/>
    <x v="0"/>
    <s v="Jan-2025"/>
    <s v="2025-01"/>
    <n v="1100"/>
    <n v="1100"/>
    <s v="Below Min(Bargain)"/>
    <n v="100"/>
  </r>
  <r>
    <x v="10"/>
    <n v="350"/>
    <s v="Repeat"/>
    <x v="0"/>
    <s v="Jan-2025"/>
    <s v="2025-01"/>
    <n v="700"/>
    <n v="700"/>
    <s v="Below Min(Bargain)"/>
    <n v="350"/>
  </r>
  <r>
    <x v="0"/>
    <n v="50"/>
    <s v="Repeat"/>
    <x v="0"/>
    <s v="Jan-2025"/>
    <s v="2025-01"/>
    <n v="60"/>
    <n v="70"/>
    <s v="Below Min(Bargain)"/>
    <n v="10"/>
  </r>
  <r>
    <x v="25"/>
    <n v="220"/>
    <s v="Repeat"/>
    <x v="0"/>
    <s v="Jan-2025"/>
    <s v="2025-01"/>
    <n v="70"/>
    <n v="140"/>
    <s v="Above Max"/>
    <n v="0"/>
  </r>
  <r>
    <x v="23"/>
    <n v="700"/>
    <s v="Repeat"/>
    <x v="0"/>
    <s v="Jan-2025"/>
    <s v="2025-01"/>
    <n v="700"/>
    <n v="700"/>
    <s v="Within Range"/>
    <n v="0"/>
  </r>
  <r>
    <x v="0"/>
    <n v="50"/>
    <s v="Repeat"/>
    <x v="0"/>
    <s v="Jan-2025"/>
    <s v="2025-01"/>
    <n v="60"/>
    <n v="70"/>
    <s v="Below Min(Bargain)"/>
    <n v="10"/>
  </r>
  <r>
    <x v="2"/>
    <n v="700"/>
    <s v="Repeat"/>
    <x v="0"/>
    <s v="Jan-2025"/>
    <s v="2025-01"/>
    <n v="800"/>
    <n v="800"/>
    <s v="Below Min(Bargain)"/>
    <n v="100"/>
  </r>
  <r>
    <x v="7"/>
    <n v="500"/>
    <s v="Repeat"/>
    <x v="0"/>
    <s v="Jan-2025"/>
    <s v="2025-01"/>
    <n v="500"/>
    <n v="500"/>
    <s v="Within Range"/>
    <n v="0"/>
  </r>
  <r>
    <x v="25"/>
    <n v="150"/>
    <s v="Repeat"/>
    <x v="0"/>
    <s v="Jan-2025"/>
    <s v="2025-01"/>
    <n v="70"/>
    <n v="140"/>
    <s v="Above Max"/>
    <n v="0"/>
  </r>
  <r>
    <x v="7"/>
    <n v="500"/>
    <s v="Repeat"/>
    <x v="0"/>
    <s v="Jan-2025"/>
    <s v="2025-01"/>
    <n v="500"/>
    <n v="500"/>
    <s v="Within Range"/>
    <n v="0"/>
  </r>
  <r>
    <x v="6"/>
    <n v="950"/>
    <s v="Repeat"/>
    <x v="0"/>
    <s v="Jan-2025"/>
    <s v="2025-01"/>
    <n v="800"/>
    <n v="1000"/>
    <s v="Within Range"/>
    <n v="0"/>
  </r>
  <r>
    <x v="33"/>
    <n v="1100"/>
    <s v="Repeat"/>
    <x v="0"/>
    <s v="Jan-2025"/>
    <s v="2025-01"/>
    <n v="1100"/>
    <n v="1100"/>
    <s v="Within Range"/>
    <n v="0"/>
  </r>
  <r>
    <x v="4"/>
    <n v="460"/>
    <s v="Repeat"/>
    <x v="0"/>
    <s v="Jan-2025"/>
    <s v="2025-01"/>
    <n v="350"/>
    <n v="500"/>
    <s v="Within Range"/>
    <n v="0"/>
  </r>
  <r>
    <x v="0"/>
    <n v="50"/>
    <s v="Repeat"/>
    <x v="0"/>
    <s v="Jan-2025"/>
    <s v="2025-01"/>
    <n v="60"/>
    <n v="70"/>
    <s v="Below Min(Bargain)"/>
    <n v="10"/>
  </r>
  <r>
    <x v="36"/>
    <n v="1500"/>
    <s v="Repeat"/>
    <x v="0"/>
    <s v="Jan-2025"/>
    <s v="2025-01"/>
    <n v="1000"/>
    <n v="1000"/>
    <s v="Above Max"/>
    <n v="0"/>
  </r>
  <r>
    <x v="0"/>
    <n v="80"/>
    <s v="New"/>
    <x v="0"/>
    <s v="Jan-2025"/>
    <s v="2025-01"/>
    <n v="60"/>
    <n v="70"/>
    <s v="Above Max"/>
    <n v="0"/>
  </r>
  <r>
    <x v="0"/>
    <n v="60"/>
    <s v="Repeat"/>
    <x v="0"/>
    <s v="Feb-2025"/>
    <s v="2025-02"/>
    <n v="60"/>
    <n v="70"/>
    <s v="Within Range"/>
    <n v="0"/>
  </r>
  <r>
    <x v="12"/>
    <n v="900"/>
    <s v="Repeat"/>
    <x v="0"/>
    <s v="Feb-2025"/>
    <s v="2025-02"/>
    <n v="1000"/>
    <n v="1000"/>
    <s v="Below Min(Bargain)"/>
    <n v="100"/>
  </r>
  <r>
    <x v="1"/>
    <n v="3000"/>
    <s v="Repeat"/>
    <x v="0"/>
    <s v="Feb-2025"/>
    <s v="2025-02"/>
    <n v="3000"/>
    <n v="5000"/>
    <s v="Within Range"/>
    <n v="0"/>
  </r>
  <r>
    <x v="3"/>
    <n v="300"/>
    <s v="Repeat"/>
    <x v="0"/>
    <s v="Feb-2025"/>
    <s v="2025-02"/>
    <n v="350"/>
    <n v="700"/>
    <s v="Below Min(Bargain)"/>
    <n v="50"/>
  </r>
  <r>
    <x v="0"/>
    <n v="60"/>
    <s v="Repeat"/>
    <x v="0"/>
    <s v="Feb-2025"/>
    <s v="2025-02"/>
    <n v="60"/>
    <n v="70"/>
    <s v="Within Range"/>
    <n v="0"/>
  </r>
  <r>
    <x v="25"/>
    <n v="120"/>
    <s v="Repeat"/>
    <x v="0"/>
    <s v="Feb-2025"/>
    <s v="2025-02"/>
    <n v="70"/>
    <n v="140"/>
    <s v="Within Range"/>
    <n v="0"/>
  </r>
  <r>
    <x v="0"/>
    <n v="60"/>
    <s v="Repeat"/>
    <x v="0"/>
    <s v="Feb-2025"/>
    <s v="2025-02"/>
    <n v="60"/>
    <n v="70"/>
    <s v="Within Range"/>
    <n v="0"/>
  </r>
  <r>
    <x v="37"/>
    <n v="300"/>
    <s v="New"/>
    <x v="1"/>
    <s v="Feb-2025"/>
    <s v="2025-02"/>
    <n v="50"/>
    <n v="150"/>
    <s v="Above Max"/>
    <n v="0"/>
  </r>
  <r>
    <x v="14"/>
    <n v="200"/>
    <s v="Repeat"/>
    <x v="0"/>
    <s v="Feb-2025"/>
    <s v="2025-02"/>
    <n v="250"/>
    <n v="250"/>
    <s v="Below Min(Bargain)"/>
    <n v="50"/>
  </r>
  <r>
    <x v="0"/>
    <n v="60"/>
    <s v="New"/>
    <x v="0"/>
    <s v="Feb-2025"/>
    <s v="2025-02"/>
    <n v="60"/>
    <n v="70"/>
    <s v="Within Range"/>
    <n v="0"/>
  </r>
  <r>
    <x v="2"/>
    <n v="630"/>
    <s v="Repeat"/>
    <x v="0"/>
    <s v="Feb-2025"/>
    <s v="2025-02"/>
    <n v="800"/>
    <n v="800"/>
    <s v="Below Min(Bargain)"/>
    <n v="170"/>
  </r>
  <r>
    <x v="38"/>
    <n v="300"/>
    <s v="New"/>
    <x v="1"/>
    <s v="Feb-2025"/>
    <s v="2025-02"/>
    <n v="200"/>
    <n v="300"/>
    <s v="Within Range"/>
    <n v="0"/>
  </r>
  <r>
    <x v="39"/>
    <n v="1000"/>
    <s v="Repeat"/>
    <x v="0"/>
    <s v="Feb-2025"/>
    <s v="2025-02"/>
    <n v="1000"/>
    <n v="1000"/>
    <s v="Within Range"/>
    <n v="0"/>
  </r>
  <r>
    <x v="31"/>
    <n v="600"/>
    <s v="Repeat"/>
    <x v="0"/>
    <s v="Feb-2025"/>
    <s v="2025-02"/>
    <n v="300"/>
    <n v="500"/>
    <s v="Above Max"/>
    <n v="0"/>
  </r>
  <r>
    <x v="6"/>
    <n v="960"/>
    <s v="Repeat"/>
    <x v="0"/>
    <s v="Feb-2025"/>
    <s v="2025-02"/>
    <n v="800"/>
    <n v="1000"/>
    <s v="Within Range"/>
    <n v="0"/>
  </r>
  <r>
    <x v="39"/>
    <n v="1000"/>
    <s v="Repeat"/>
    <x v="0"/>
    <s v="Feb-2025"/>
    <s v="2025-02"/>
    <n v="1000"/>
    <n v="1000"/>
    <s v="Within Range"/>
    <n v="0"/>
  </r>
  <r>
    <x v="0"/>
    <n v="80"/>
    <s v="New"/>
    <x v="0"/>
    <s v="Feb-2025"/>
    <s v="2025-02"/>
    <n v="60"/>
    <n v="70"/>
    <s v="Above Max"/>
    <n v="0"/>
  </r>
  <r>
    <x v="40"/>
    <n v="1000"/>
    <s v="Repeat"/>
    <x v="1"/>
    <s v="Feb-2025"/>
    <s v="2025-02"/>
    <n v="1000"/>
    <n v="1500"/>
    <s v="Within Range"/>
    <n v="0"/>
  </r>
  <r>
    <x v="41"/>
    <n v="400"/>
    <s v="New"/>
    <x v="1"/>
    <s v="Feb-2025"/>
    <s v="2025-02"/>
    <n v="600"/>
    <n v="800"/>
    <s v="Below Min(Bargain)"/>
    <n v="200"/>
  </r>
  <r>
    <x v="37"/>
    <n v="90"/>
    <s v="New"/>
    <x v="1"/>
    <s v="Feb-2025"/>
    <s v="2025-02"/>
    <n v="50"/>
    <n v="150"/>
    <s v="Within Range"/>
    <n v="0"/>
  </r>
  <r>
    <x v="42"/>
    <n v="4000"/>
    <s v="New"/>
    <x v="1"/>
    <s v="Feb-2025"/>
    <s v="2025-02"/>
    <n v="1000"/>
    <n v="6000"/>
    <s v="Within Range"/>
    <n v="0"/>
  </r>
  <r>
    <x v="43"/>
    <n v="300"/>
    <s v="New"/>
    <x v="1"/>
    <s v="Feb-2025"/>
    <s v="2025-02"/>
    <n v="200"/>
    <n v="500"/>
    <s v="Within Range"/>
    <n v="0"/>
  </r>
  <r>
    <x v="43"/>
    <n v="200"/>
    <s v="New"/>
    <x v="1"/>
    <s v="Feb-2025"/>
    <s v="2025-02"/>
    <n v="200"/>
    <n v="500"/>
    <s v="Within Range"/>
    <n v="0"/>
  </r>
  <r>
    <x v="0"/>
    <n v="60"/>
    <s v="Repeat"/>
    <x v="0"/>
    <s v="Feb-2025"/>
    <s v="2025-02"/>
    <n v="60"/>
    <n v="70"/>
    <s v="Within Range"/>
    <n v="0"/>
  </r>
  <r>
    <x v="0"/>
    <n v="90"/>
    <s v="Repeat"/>
    <x v="0"/>
    <s v="Feb-2025"/>
    <s v="2025-02"/>
    <n v="60"/>
    <n v="70"/>
    <s v="Above Max"/>
    <n v="0"/>
  </r>
  <r>
    <x v="43"/>
    <n v="300"/>
    <s v="New"/>
    <x v="1"/>
    <s v="Feb-2025"/>
    <s v="2025-02"/>
    <n v="200"/>
    <n v="500"/>
    <s v="Within Range"/>
    <n v="0"/>
  </r>
  <r>
    <x v="44"/>
    <n v="800"/>
    <s v="New"/>
    <x v="1"/>
    <s v="Feb-2025"/>
    <s v="2025-02"/>
    <n v="300"/>
    <n v="500"/>
    <s v="Above Max"/>
    <n v="0"/>
  </r>
  <r>
    <x v="45"/>
    <n v="500"/>
    <s v="New"/>
    <x v="1"/>
    <s v="Feb-2025"/>
    <s v="2025-02"/>
    <n v="500"/>
    <n v="500"/>
    <s v="Within Range"/>
    <n v="0"/>
  </r>
  <r>
    <x v="45"/>
    <n v="500"/>
    <s v="New"/>
    <x v="1"/>
    <s v="Feb-2025"/>
    <s v="2025-02"/>
    <n v="500"/>
    <n v="500"/>
    <s v="Within Range"/>
    <n v="0"/>
  </r>
  <r>
    <x v="45"/>
    <n v="500"/>
    <s v="New"/>
    <x v="1"/>
    <s v="Feb-2025"/>
    <s v="2025-02"/>
    <n v="500"/>
    <n v="500"/>
    <s v="Within Range"/>
    <n v="0"/>
  </r>
  <r>
    <x v="45"/>
    <n v="500"/>
    <s v="New"/>
    <x v="1"/>
    <s v="Feb-2025"/>
    <s v="2025-02"/>
    <n v="500"/>
    <n v="500"/>
    <s v="Within Range"/>
    <n v="0"/>
  </r>
  <r>
    <x v="46"/>
    <n v="150"/>
    <s v="New"/>
    <x v="1"/>
    <s v="Feb-2025"/>
    <s v="2025-02"/>
    <n v="100"/>
    <n v="500"/>
    <s v="Within Range"/>
    <n v="0"/>
  </r>
  <r>
    <x v="47"/>
    <n v="350"/>
    <s v="New"/>
    <x v="1"/>
    <s v="Feb-2025"/>
    <s v="2025-02"/>
    <n v="350"/>
    <n v="350"/>
    <s v="Within Range"/>
    <n v="0"/>
  </r>
  <r>
    <x v="46"/>
    <n v="150"/>
    <s v="New"/>
    <x v="1"/>
    <s v="Feb-2025"/>
    <s v="2025-02"/>
    <n v="100"/>
    <n v="500"/>
    <s v="Within Range"/>
    <n v="0"/>
  </r>
  <r>
    <x v="43"/>
    <n v="200"/>
    <s v="New"/>
    <x v="1"/>
    <s v="Feb-2025"/>
    <s v="2025-02"/>
    <n v="200"/>
    <n v="500"/>
    <s v="Within Range"/>
    <n v="0"/>
  </r>
  <r>
    <x v="0"/>
    <n v="80"/>
    <s v="New"/>
    <x v="0"/>
    <s v="Feb-2025"/>
    <s v="2025-02"/>
    <n v="60"/>
    <n v="70"/>
    <s v="Above Max"/>
    <n v="0"/>
  </r>
  <r>
    <x v="31"/>
    <n v="400"/>
    <s v="Repeat"/>
    <x v="0"/>
    <s v="Feb-2025"/>
    <s v="2025-02"/>
    <n v="300"/>
    <n v="500"/>
    <s v="Within Range"/>
    <n v="0"/>
  </r>
  <r>
    <x v="43"/>
    <n v="200"/>
    <s v="New"/>
    <x v="1"/>
    <s v="Feb-2025"/>
    <s v="2025-02"/>
    <n v="200"/>
    <n v="500"/>
    <s v="Within Range"/>
    <n v="0"/>
  </r>
  <r>
    <x v="19"/>
    <n v="400"/>
    <s v="Repeat"/>
    <x v="0"/>
    <s v="Feb-2025"/>
    <s v="2025-02"/>
    <n v="400"/>
    <n v="400"/>
    <s v="Within Range"/>
    <n v="0"/>
  </r>
  <r>
    <x v="36"/>
    <n v="500"/>
    <s v="Repeat"/>
    <x v="0"/>
    <s v="Feb-2025"/>
    <s v="2025-02"/>
    <n v="1000"/>
    <n v="1000"/>
    <s v="Below Min(Bargain)"/>
    <n v="500"/>
  </r>
  <r>
    <x v="0"/>
    <n v="60"/>
    <s v="Repeat"/>
    <x v="0"/>
    <s v="Feb-2025"/>
    <s v="2025-02"/>
    <n v="60"/>
    <n v="70"/>
    <s v="Within Range"/>
    <n v="0"/>
  </r>
  <r>
    <x v="43"/>
    <n v="200"/>
    <s v="New"/>
    <x v="1"/>
    <s v="Feb-2025"/>
    <s v="2025-02"/>
    <n v="200"/>
    <n v="500"/>
    <s v="Within Range"/>
    <n v="0"/>
  </r>
  <r>
    <x v="48"/>
    <n v="80"/>
    <s v="New"/>
    <x v="1"/>
    <s v="Feb-2025"/>
    <s v="2025-02"/>
    <n v="30"/>
    <n v="40"/>
    <s v="Above Max"/>
    <n v="0"/>
  </r>
  <r>
    <x v="37"/>
    <n v="80"/>
    <s v="New"/>
    <x v="1"/>
    <s v="Feb-2025"/>
    <s v="2025-02"/>
    <n v="50"/>
    <n v="150"/>
    <s v="Within Range"/>
    <n v="0"/>
  </r>
  <r>
    <x v="14"/>
    <n v="200"/>
    <s v="Repeat"/>
    <x v="0"/>
    <s v="Feb-2025"/>
    <s v="2025-02"/>
    <n v="250"/>
    <n v="250"/>
    <s v="Below Min(Bargain)"/>
    <n v="50"/>
  </r>
  <r>
    <x v="0"/>
    <n v="60"/>
    <s v="Repeat"/>
    <x v="0"/>
    <s v="Feb-2025"/>
    <s v="2025-02"/>
    <n v="60"/>
    <n v="70"/>
    <s v="Within Range"/>
    <n v="0"/>
  </r>
  <r>
    <x v="6"/>
    <n v="700"/>
    <s v="Repeat"/>
    <x v="0"/>
    <s v="Feb-2025"/>
    <s v="2025-02"/>
    <n v="800"/>
    <n v="1000"/>
    <s v="Below Min(Bargain)"/>
    <n v="100"/>
  </r>
  <r>
    <x v="7"/>
    <n v="500"/>
    <s v="Repeat"/>
    <x v="0"/>
    <s v="Feb-2025"/>
    <s v="2025-02"/>
    <n v="500"/>
    <n v="500"/>
    <s v="Within Range"/>
    <n v="0"/>
  </r>
  <r>
    <x v="46"/>
    <n v="100"/>
    <s v="New"/>
    <x v="1"/>
    <s v="Feb-2025"/>
    <s v="2025-02"/>
    <n v="100"/>
    <n v="500"/>
    <s v="Within Range"/>
    <n v="0"/>
  </r>
  <r>
    <x v="42"/>
    <n v="3000"/>
    <s v="New"/>
    <x v="1"/>
    <s v="Feb-2025"/>
    <s v="2025-02"/>
    <n v="1000"/>
    <n v="6000"/>
    <s v="Within Range"/>
    <n v="0"/>
  </r>
  <r>
    <x v="42"/>
    <n v="2000"/>
    <s v="New"/>
    <x v="1"/>
    <s v="Feb-2025"/>
    <s v="2025-02"/>
    <n v="1000"/>
    <n v="6000"/>
    <s v="Within Range"/>
    <n v="0"/>
  </r>
  <r>
    <x v="25"/>
    <n v="120"/>
    <s v="Repeat"/>
    <x v="0"/>
    <s v="Feb-2025"/>
    <s v="2025-02"/>
    <n v="70"/>
    <n v="140"/>
    <s v="Within Range"/>
    <n v="0"/>
  </r>
  <r>
    <x v="0"/>
    <n v="80"/>
    <s v="Repeat"/>
    <x v="0"/>
    <s v="Feb-2025"/>
    <s v="2025-02"/>
    <n v="60"/>
    <n v="70"/>
    <s v="Above Max"/>
    <n v="0"/>
  </r>
  <r>
    <x v="28"/>
    <n v="850"/>
    <s v="Repeat"/>
    <x v="0"/>
    <s v="Feb-2025"/>
    <s v="2025-02"/>
    <n v="850"/>
    <n v="850"/>
    <s v="Within Range"/>
    <n v="0"/>
  </r>
  <r>
    <x v="0"/>
    <n v="70"/>
    <s v="Repeat"/>
    <x v="0"/>
    <s v="Feb-2025"/>
    <s v="2025-02"/>
    <n v="60"/>
    <n v="70"/>
    <s v="Within Range"/>
    <n v="0"/>
  </r>
  <r>
    <x v="0"/>
    <n v="60"/>
    <s v="New"/>
    <x v="0"/>
    <s v="Feb-2025"/>
    <s v="2025-02"/>
    <n v="60"/>
    <n v="70"/>
    <s v="Within Range"/>
    <n v="0"/>
  </r>
  <r>
    <x v="0"/>
    <n v="60"/>
    <s v="Repeat"/>
    <x v="0"/>
    <s v="Feb-2025"/>
    <s v="2025-02"/>
    <n v="60"/>
    <n v="70"/>
    <s v="Within Range"/>
    <n v="0"/>
  </r>
  <r>
    <x v="25"/>
    <n v="220"/>
    <s v="Repeat"/>
    <x v="0"/>
    <s v="Feb-2025"/>
    <s v="2025-02"/>
    <n v="70"/>
    <n v="140"/>
    <s v="Above Max"/>
    <n v="0"/>
  </r>
  <r>
    <x v="6"/>
    <n v="700"/>
    <s v="Repeat"/>
    <x v="0"/>
    <s v="Feb-2025"/>
    <s v="2025-02"/>
    <n v="800"/>
    <n v="1000"/>
    <s v="Below Min(Bargain)"/>
    <n v="100"/>
  </r>
  <r>
    <x v="7"/>
    <n v="500"/>
    <s v="Repeat"/>
    <x v="0"/>
    <s v="Feb-2025"/>
    <s v="2025-02"/>
    <n v="500"/>
    <n v="500"/>
    <s v="Within Range"/>
    <n v="0"/>
  </r>
  <r>
    <x v="0"/>
    <n v="50"/>
    <s v="Repeat"/>
    <x v="0"/>
    <s v="Feb-2025"/>
    <s v="2025-02"/>
    <n v="60"/>
    <n v="70"/>
    <s v="Below Min(Bargain)"/>
    <n v="10"/>
  </r>
  <r>
    <x v="6"/>
    <n v="900"/>
    <s v="Repeat"/>
    <x v="0"/>
    <s v="Feb-2025"/>
    <s v="2025-02"/>
    <n v="800"/>
    <n v="1000"/>
    <s v="Within Range"/>
    <n v="0"/>
  </r>
  <r>
    <x v="21"/>
    <n v="200"/>
    <s v="Repeat"/>
    <x v="0"/>
    <s v="Mar-2025"/>
    <s v="2025-03"/>
    <n v="150"/>
    <n v="200"/>
    <s v="Within Range"/>
    <n v="0"/>
  </r>
  <r>
    <x v="0"/>
    <n v="60"/>
    <s v="New"/>
    <x v="0"/>
    <s v="Mar-2025"/>
    <s v="2025-03"/>
    <n v="60"/>
    <n v="70"/>
    <s v="Within Range"/>
    <n v="0"/>
  </r>
  <r>
    <x v="0"/>
    <n v="60"/>
    <s v="Repeat"/>
    <x v="0"/>
    <s v="Mar-2025"/>
    <s v="2025-03"/>
    <n v="60"/>
    <n v="70"/>
    <s v="Within Range"/>
    <n v="0"/>
  </r>
  <r>
    <x v="6"/>
    <n v="2400"/>
    <s v="Repeat"/>
    <x v="0"/>
    <s v="Mar-2025"/>
    <s v="2025-03"/>
    <n v="800"/>
    <n v="1000"/>
    <s v="Above Max"/>
    <n v="0"/>
  </r>
  <r>
    <x v="4"/>
    <n v="360"/>
    <s v="Repeat"/>
    <x v="0"/>
    <s v="Mar-2025"/>
    <s v="2025-03"/>
    <n v="350"/>
    <n v="500"/>
    <s v="Within Range"/>
    <n v="0"/>
  </r>
  <r>
    <x v="25"/>
    <n v="120"/>
    <s v="Repeat"/>
    <x v="0"/>
    <s v="Mar-2025"/>
    <s v="2025-03"/>
    <n v="70"/>
    <n v="140"/>
    <s v="Within Range"/>
    <n v="0"/>
  </r>
  <r>
    <x v="10"/>
    <n v="360"/>
    <s v="Repeat"/>
    <x v="0"/>
    <s v="Mar-2025"/>
    <s v="2025-03"/>
    <n v="700"/>
    <n v="700"/>
    <s v="Below Min(Bargain)"/>
    <n v="340"/>
  </r>
  <r>
    <x v="49"/>
    <n v="3600"/>
    <s v="New"/>
    <x v="0"/>
    <s v="Mar-2025"/>
    <s v="2025-03"/>
    <n v="3000"/>
    <n v="4000"/>
    <s v="Within Range"/>
    <n v="0"/>
  </r>
  <r>
    <x v="0"/>
    <n v="60"/>
    <s v="Repeat"/>
    <x v="0"/>
    <s v="Mar-2025"/>
    <s v="2025-03"/>
    <n v="60"/>
    <n v="70"/>
    <s v="Within Range"/>
    <n v="0"/>
  </r>
  <r>
    <x v="42"/>
    <n v="2000"/>
    <s v="New"/>
    <x v="1"/>
    <s v="Feb-2025"/>
    <s v="2025-02"/>
    <n v="1000"/>
    <n v="6000"/>
    <s v="Within Range"/>
    <n v="0"/>
  </r>
  <r>
    <x v="6"/>
    <n v="700"/>
    <s v="Repeat"/>
    <x v="0"/>
    <s v="Mar-2025"/>
    <s v="2025-03"/>
    <n v="800"/>
    <n v="1000"/>
    <s v="Below Min(Bargain)"/>
    <n v="100"/>
  </r>
  <r>
    <x v="38"/>
    <n v="300"/>
    <s v="New"/>
    <x v="1"/>
    <s v="Mar-2025"/>
    <s v="2025-03"/>
    <n v="200"/>
    <n v="300"/>
    <s v="Within Range"/>
    <n v="0"/>
  </r>
  <r>
    <x v="37"/>
    <n v="150"/>
    <s v="Repeat"/>
    <x v="1"/>
    <s v="Mar-2025"/>
    <s v="2025-03"/>
    <n v="50"/>
    <n v="150"/>
    <s v="Within Range"/>
    <n v="0"/>
  </r>
  <r>
    <x v="7"/>
    <n v="500"/>
    <s v="New"/>
    <x v="0"/>
    <s v="Mar-2025"/>
    <s v="2025-03"/>
    <n v="500"/>
    <n v="500"/>
    <s v="Within Range"/>
    <n v="0"/>
  </r>
  <r>
    <x v="37"/>
    <n v="150"/>
    <s v="Repeat"/>
    <x v="1"/>
    <s v="Mar-2025"/>
    <s v="2025-03"/>
    <n v="50"/>
    <n v="150"/>
    <s v="Within Range"/>
    <n v="0"/>
  </r>
  <r>
    <x v="25"/>
    <n v="110"/>
    <s v="Repeat"/>
    <x v="0"/>
    <s v="Mar-2025"/>
    <s v="2025-03"/>
    <n v="70"/>
    <n v="140"/>
    <s v="Within Range"/>
    <n v="0"/>
  </r>
  <r>
    <x v="0"/>
    <n v="80"/>
    <s v="New"/>
    <x v="0"/>
    <s v="Mar-2025"/>
    <s v="2025-03"/>
    <n v="60"/>
    <n v="70"/>
    <s v="Above Max"/>
    <n v="0"/>
  </r>
  <r>
    <x v="4"/>
    <n v="360"/>
    <s v="Repeat"/>
    <x v="0"/>
    <s v="Mar-2025"/>
    <s v="2025-03"/>
    <n v="350"/>
    <n v="500"/>
    <s v="Within Range"/>
    <n v="0"/>
  </r>
  <r>
    <x v="8"/>
    <n v="400"/>
    <s v="Repeat"/>
    <x v="0"/>
    <s v="Mar-2025"/>
    <s v="2025-03"/>
    <n v="500"/>
    <n v="500"/>
    <s v="Below Min(Bargain)"/>
    <n v="100"/>
  </r>
  <r>
    <x v="50"/>
    <n v="650"/>
    <s v="Repeat"/>
    <x v="0"/>
    <s v="Mar-2025"/>
    <s v="2025-03"/>
    <n v="1000"/>
    <n v="1000"/>
    <s v="Below Min(Bargain)"/>
    <n v="350"/>
  </r>
  <r>
    <x v="6"/>
    <n v="950"/>
    <s v="Repeat"/>
    <x v="0"/>
    <s v="Mar-2025"/>
    <s v="2025-03"/>
    <n v="800"/>
    <n v="1000"/>
    <s v="Within Range"/>
    <n v="0"/>
  </r>
  <r>
    <x v="0"/>
    <n v="60"/>
    <s v="Repeat"/>
    <x v="0"/>
    <s v="Mar-2025"/>
    <s v="2025-03"/>
    <n v="60"/>
    <n v="70"/>
    <s v="Within Range"/>
    <n v="0"/>
  </r>
  <r>
    <x v="38"/>
    <n v="300"/>
    <s v="New"/>
    <x v="1"/>
    <s v="Mar-2025"/>
    <s v="2025-03"/>
    <n v="200"/>
    <n v="300"/>
    <s v="Within Range"/>
    <n v="0"/>
  </r>
  <r>
    <x v="0"/>
    <n v="60"/>
    <s v="Repeat"/>
    <x v="0"/>
    <s v="Mar-2025"/>
    <s v="2025-03"/>
    <n v="60"/>
    <n v="70"/>
    <s v="Within Range"/>
    <n v="0"/>
  </r>
  <r>
    <x v="3"/>
    <n v="350"/>
    <s v="Repeat"/>
    <x v="0"/>
    <s v="Mar-2025"/>
    <s v="2025-03"/>
    <n v="350"/>
    <n v="700"/>
    <s v="Within Range"/>
    <n v="0"/>
  </r>
  <r>
    <x v="6"/>
    <n v="700"/>
    <s v="Repeat"/>
    <x v="0"/>
    <s v="Mar-2025"/>
    <s v="2025-03"/>
    <n v="800"/>
    <n v="1000"/>
    <s v="Below Min(Bargain)"/>
    <n v="100"/>
  </r>
  <r>
    <x v="38"/>
    <n v="625"/>
    <s v="New"/>
    <x v="1"/>
    <s v="Mar-2025"/>
    <s v="2025-03"/>
    <n v="200"/>
    <n v="300"/>
    <s v="Above Max"/>
    <n v="0"/>
  </r>
  <r>
    <x v="34"/>
    <n v="800"/>
    <s v="Repeat"/>
    <x v="0"/>
    <s v="Mar-2025"/>
    <s v="2025-03"/>
    <n v="800"/>
    <n v="800"/>
    <s v="Within Range"/>
    <n v="0"/>
  </r>
  <r>
    <x v="0"/>
    <n v="60"/>
    <s v="Repeat"/>
    <x v="0"/>
    <s v="Mar-2025"/>
    <s v="2025-03"/>
    <n v="60"/>
    <n v="70"/>
    <s v="Within Range"/>
    <n v="0"/>
  </r>
  <r>
    <x v="25"/>
    <n v="120"/>
    <s v="Repeat"/>
    <x v="0"/>
    <s v="Mar-2025"/>
    <s v="2025-03"/>
    <n v="70"/>
    <n v="140"/>
    <s v="Within Range"/>
    <n v="0"/>
  </r>
  <r>
    <x v="7"/>
    <n v="460"/>
    <s v="Repeat"/>
    <x v="0"/>
    <s v="Mar-2025"/>
    <s v="2025-03"/>
    <n v="500"/>
    <n v="500"/>
    <s v="Below Min(Bargain)"/>
    <n v="40"/>
  </r>
  <r>
    <x v="37"/>
    <n v="150"/>
    <s v="New"/>
    <x v="1"/>
    <s v="Mar-2025"/>
    <s v="2025-03"/>
    <n v="50"/>
    <n v="150"/>
    <s v="Within Range"/>
    <n v="0"/>
  </r>
  <r>
    <x v="0"/>
    <n v="60"/>
    <s v="New"/>
    <x v="0"/>
    <s v="Mar-2025"/>
    <s v="2025-03"/>
    <n v="60"/>
    <n v="70"/>
    <s v="Within Range"/>
    <n v="0"/>
  </r>
  <r>
    <x v="7"/>
    <n v="500"/>
    <s v="Repeat"/>
    <x v="0"/>
    <s v="Mar-2025"/>
    <s v="2025-03"/>
    <n v="500"/>
    <n v="500"/>
    <s v="Within Range"/>
    <n v="0"/>
  </r>
  <r>
    <x v="25"/>
    <n v="100"/>
    <s v="Repeat"/>
    <x v="0"/>
    <s v="Mar-2025"/>
    <s v="2025-03"/>
    <n v="70"/>
    <n v="140"/>
    <s v="Within Range"/>
    <n v="0"/>
  </r>
  <r>
    <x v="39"/>
    <n v="1000"/>
    <s v="New"/>
    <x v="0"/>
    <s v="Mar-2025"/>
    <s v="2025-03"/>
    <n v="1000"/>
    <n v="1000"/>
    <s v="Within Range"/>
    <n v="0"/>
  </r>
  <r>
    <x v="51"/>
    <n v="80"/>
    <s v="New"/>
    <x v="1"/>
    <s v="Mar-2025"/>
    <s v="2025-03"/>
    <n v="100"/>
    <n v="300"/>
    <s v="Below Min(Bargain)"/>
    <n v="20"/>
  </r>
  <r>
    <x v="0"/>
    <n v="60"/>
    <s v="New"/>
    <x v="0"/>
    <s v="Mar-2025"/>
    <s v="2025-03"/>
    <n v="60"/>
    <n v="70"/>
    <s v="Within Range"/>
    <n v="0"/>
  </r>
  <r>
    <x v="33"/>
    <n v="960"/>
    <s v="Repeat"/>
    <x v="0"/>
    <s v="Mar-2025"/>
    <s v="2025-03"/>
    <n v="1100"/>
    <n v="1100"/>
    <s v="Below Min(Bargain)"/>
    <n v="140"/>
  </r>
  <r>
    <x v="0"/>
    <n v="60"/>
    <s v="Repeat"/>
    <x v="0"/>
    <s v="Mar-2025"/>
    <s v="2025-03"/>
    <n v="60"/>
    <n v="70"/>
    <s v="Within Range"/>
    <n v="0"/>
  </r>
  <r>
    <x v="14"/>
    <n v="200"/>
    <s v="Repeat"/>
    <x v="0"/>
    <s v="Mar-2025"/>
    <s v="2025-03"/>
    <n v="250"/>
    <n v="250"/>
    <s v="Below Min(Bargain)"/>
    <n v="50"/>
  </r>
  <r>
    <x v="0"/>
    <n v="60"/>
    <s v="New"/>
    <x v="0"/>
    <s v="Mar-2025"/>
    <s v="2025-03"/>
    <n v="60"/>
    <n v="70"/>
    <s v="Within Range"/>
    <n v="0"/>
  </r>
  <r>
    <x v="19"/>
    <n v="470"/>
    <s v="New"/>
    <x v="0"/>
    <s v="Apr-2025"/>
    <s v="2025-04"/>
    <n v="400"/>
    <n v="400"/>
    <s v="Above Max"/>
    <n v="0"/>
  </r>
  <r>
    <x v="19"/>
    <n v="400"/>
    <s v="Repeat"/>
    <x v="0"/>
    <s v="Apr-2025"/>
    <s v="2025-04"/>
    <n v="400"/>
    <n v="400"/>
    <s v="Within Range"/>
    <n v="0"/>
  </r>
  <r>
    <x v="6"/>
    <n v="1000"/>
    <s v="Repeat"/>
    <x v="0"/>
    <s v="Apr-2025"/>
    <s v="2025-04"/>
    <n v="800"/>
    <n v="1000"/>
    <s v="Within Range"/>
    <n v="0"/>
  </r>
  <r>
    <x v="0"/>
    <n v="60"/>
    <s v="Repeat"/>
    <x v="0"/>
    <s v="Apr-2025"/>
    <s v="2025-04"/>
    <n v="60"/>
    <n v="70"/>
    <s v="Within Range"/>
    <n v="0"/>
  </r>
  <r>
    <x v="25"/>
    <n v="120"/>
    <s v="Repeat"/>
    <x v="0"/>
    <s v="Apr-2025"/>
    <s v="2025-04"/>
    <n v="70"/>
    <n v="140"/>
    <s v="Within Range"/>
    <n v="0"/>
  </r>
  <r>
    <x v="13"/>
    <n v="310"/>
    <s v="Repeat"/>
    <x v="0"/>
    <s v="Apr-2025"/>
    <s v="2025-04"/>
    <n v="300"/>
    <n v="300"/>
    <s v="Above Max"/>
    <n v="0"/>
  </r>
  <r>
    <x v="31"/>
    <n v="600"/>
    <s v="Repeat"/>
    <x v="0"/>
    <s v="Apr-2025"/>
    <s v="2025-04"/>
    <n v="300"/>
    <n v="500"/>
    <s v="Above Max"/>
    <n v="0"/>
  </r>
  <r>
    <x v="0"/>
    <n v="60"/>
    <s v="Repeat"/>
    <x v="0"/>
    <s v="Apr-2025"/>
    <s v="2025-04"/>
    <n v="60"/>
    <n v="70"/>
    <s v="Within Range"/>
    <n v="0"/>
  </r>
  <r>
    <x v="17"/>
    <n v="560"/>
    <s v="Repeat"/>
    <x v="0"/>
    <s v="Apr-2025"/>
    <s v="2025-04"/>
    <n v="600"/>
    <n v="600"/>
    <s v="Below Min(Bargain)"/>
    <n v="40"/>
  </r>
  <r>
    <x v="52"/>
    <n v="200"/>
    <s v="Repeat"/>
    <x v="0"/>
    <s v="Apr-2025"/>
    <s v="2025-04"/>
    <n v="300"/>
    <n v="500"/>
    <s v="Below Min(Bargain)"/>
    <n v="100"/>
  </r>
  <r>
    <x v="0"/>
    <n v="80"/>
    <s v="Repeat"/>
    <x v="0"/>
    <s v="Apr-2025"/>
    <s v="2025-04"/>
    <n v="60"/>
    <n v="70"/>
    <s v="Above Max"/>
    <n v="0"/>
  </r>
  <r>
    <x v="0"/>
    <n v="60"/>
    <s v="Repeat"/>
    <x v="0"/>
    <s v="Apr-2025"/>
    <s v="2025-04"/>
    <n v="60"/>
    <n v="70"/>
    <s v="Within Range"/>
    <n v="0"/>
  </r>
  <r>
    <x v="25"/>
    <n v="120"/>
    <s v="Repeat"/>
    <x v="0"/>
    <s v="Apr-2025"/>
    <s v="2025-04"/>
    <n v="70"/>
    <n v="140"/>
    <s v="Within Range"/>
    <n v="0"/>
  </r>
  <r>
    <x v="44"/>
    <n v="350"/>
    <s v="Repeat"/>
    <x v="1"/>
    <s v="Mar-2025"/>
    <s v="2025-03"/>
    <n v="300"/>
    <n v="500"/>
    <s v="Within Range"/>
    <n v="0"/>
  </r>
  <r>
    <x v="38"/>
    <n v="250"/>
    <s v="Repeat"/>
    <x v="1"/>
    <s v="Apr-2025"/>
    <s v="2025-04"/>
    <n v="200"/>
    <n v="300"/>
    <s v="Within Range"/>
    <n v="0"/>
  </r>
  <r>
    <x v="3"/>
    <n v="350"/>
    <s v="Repeat"/>
    <x v="0"/>
    <s v="Apr-2025"/>
    <s v="2025-04"/>
    <n v="350"/>
    <n v="700"/>
    <s v="Within Range"/>
    <n v="0"/>
  </r>
  <r>
    <x v="0"/>
    <n v="60"/>
    <s v="New"/>
    <x v="0"/>
    <s v="Apr-2025"/>
    <s v="2025-04"/>
    <n v="60"/>
    <n v="70"/>
    <s v="Within Range"/>
    <n v="0"/>
  </r>
  <r>
    <x v="25"/>
    <n v="110"/>
    <s v="Repeat"/>
    <x v="0"/>
    <s v="Apr-2025"/>
    <s v="2025-04"/>
    <n v="70"/>
    <n v="140"/>
    <s v="Within Range"/>
    <n v="0"/>
  </r>
  <r>
    <x v="25"/>
    <n v="240"/>
    <s v="Repeat"/>
    <x v="0"/>
    <s v="Apr-2025"/>
    <s v="2025-04"/>
    <n v="70"/>
    <n v="140"/>
    <s v="Above Max"/>
    <n v="0"/>
  </r>
  <r>
    <x v="45"/>
    <n v="1000"/>
    <s v="Repeat"/>
    <x v="1"/>
    <s v="Apr-2025"/>
    <s v="2025-04"/>
    <n v="500"/>
    <n v="500"/>
    <s v="Above Max"/>
    <n v="0"/>
  </r>
  <r>
    <x v="45"/>
    <n v="1000"/>
    <s v="Repeat"/>
    <x v="1"/>
    <s v="Apr-2025"/>
    <s v="2025-04"/>
    <n v="500"/>
    <n v="500"/>
    <s v="Above Max"/>
    <n v="0"/>
  </r>
  <r>
    <x v="6"/>
    <n v="700"/>
    <s v="Repeat"/>
    <x v="0"/>
    <s v="Apr-2025"/>
    <s v="2025-04"/>
    <n v="800"/>
    <n v="1000"/>
    <s v="Below Min(Bargain)"/>
    <n v="100"/>
  </r>
  <r>
    <x v="14"/>
    <n v="250"/>
    <s v="Repeat"/>
    <x v="0"/>
    <s v="Apr-2025"/>
    <s v="2025-04"/>
    <n v="250"/>
    <n v="250"/>
    <s v="Within Range"/>
    <n v="0"/>
  </r>
  <r>
    <x v="7"/>
    <n v="400"/>
    <s v="Repeat"/>
    <x v="0"/>
    <s v="Apr-2025"/>
    <s v="2025-04"/>
    <n v="500"/>
    <n v="500"/>
    <s v="Below Min(Bargain)"/>
    <n v="100"/>
  </r>
  <r>
    <x v="0"/>
    <n v="60"/>
    <s v="New"/>
    <x v="0"/>
    <s v="Apr-2025"/>
    <s v="2025-04"/>
    <n v="60"/>
    <n v="70"/>
    <s v="Within Range"/>
    <n v="0"/>
  </r>
  <r>
    <x v="18"/>
    <n v="900"/>
    <s v="Repeat"/>
    <x v="0"/>
    <s v="Apr-2025"/>
    <s v="2025-04"/>
    <n v="900"/>
    <n v="900"/>
    <s v="Within Range"/>
    <n v="0"/>
  </r>
  <r>
    <x v="38"/>
    <n v="250"/>
    <s v="Repeat"/>
    <x v="1"/>
    <s v="Apr-2025"/>
    <s v="2025-04"/>
    <n v="200"/>
    <n v="300"/>
    <s v="Within Range"/>
    <n v="0"/>
  </r>
  <r>
    <x v="11"/>
    <n v="300"/>
    <s v="Repeat"/>
    <x v="0"/>
    <s v="Apr-2025"/>
    <s v="2025-04"/>
    <n v="300"/>
    <n v="300"/>
    <s v="Within Range"/>
    <n v="0"/>
  </r>
  <r>
    <x v="25"/>
    <n v="120"/>
    <s v="Repeat"/>
    <x v="0"/>
    <s v="Apr-2025"/>
    <s v="2025-04"/>
    <n v="70"/>
    <n v="140"/>
    <s v="Within Range"/>
    <n v="0"/>
  </r>
  <r>
    <x v="2"/>
    <n v="800"/>
    <s v="New"/>
    <x v="0"/>
    <s v="Apr-2025"/>
    <s v="2025-04"/>
    <n v="800"/>
    <n v="800"/>
    <s v="Within Range"/>
    <n v="0"/>
  </r>
  <r>
    <x v="0"/>
    <n v="50"/>
    <s v="Repeat"/>
    <x v="0"/>
    <s v="Apr-2025"/>
    <s v="2025-04"/>
    <n v="60"/>
    <n v="70"/>
    <s v="Below Min(Bargain)"/>
    <n v="10"/>
  </r>
  <r>
    <x v="0"/>
    <n v="80"/>
    <s v="Repeat"/>
    <x v="0"/>
    <s v="Apr-2025"/>
    <s v="2025-04"/>
    <n v="60"/>
    <n v="70"/>
    <s v="Above Max"/>
    <n v="0"/>
  </r>
  <r>
    <x v="9"/>
    <n v="1200"/>
    <s v="New"/>
    <x v="0"/>
    <s v="Apr-2025"/>
    <s v="2025-04"/>
    <n v="1100"/>
    <n v="1100"/>
    <s v="Above Max"/>
    <n v="0"/>
  </r>
  <r>
    <x v="25"/>
    <n v="120"/>
    <s v="Repeat"/>
    <x v="0"/>
    <s v="Apr-2025"/>
    <s v="2025-04"/>
    <n v="70"/>
    <n v="140"/>
    <s v="Within Range"/>
    <n v="0"/>
  </r>
  <r>
    <x v="6"/>
    <n v="750"/>
    <s v="Repeat"/>
    <x v="0"/>
    <s v="Apr-2025"/>
    <s v="2025-04"/>
    <n v="800"/>
    <n v="1000"/>
    <s v="Below Min(Bargain)"/>
    <n v="50"/>
  </r>
  <r>
    <x v="14"/>
    <n v="250"/>
    <s v="Repeat"/>
    <x v="0"/>
    <s v="Apr-2025"/>
    <s v="2025-04"/>
    <n v="250"/>
    <n v="250"/>
    <s v="Within Range"/>
    <n v="0"/>
  </r>
  <r>
    <x v="0"/>
    <n v="90"/>
    <s v="Repeat"/>
    <x v="0"/>
    <s v="Apr-2025"/>
    <s v="2025-04"/>
    <n v="60"/>
    <n v="70"/>
    <s v="Above Max"/>
    <n v="0"/>
  </r>
  <r>
    <x v="38"/>
    <n v="400"/>
    <s v="Repeat"/>
    <x v="1"/>
    <s v="Apr-2025"/>
    <s v="2025-04"/>
    <n v="200"/>
    <n v="300"/>
    <s v="Above Max"/>
    <n v="0"/>
  </r>
  <r>
    <x v="51"/>
    <n v="175"/>
    <s v="Repeat"/>
    <x v="1"/>
    <s v="Apr-2025"/>
    <s v="2025-04"/>
    <n v="100"/>
    <n v="300"/>
    <s v="Within Range"/>
    <n v="0"/>
  </r>
  <r>
    <x v="3"/>
    <n v="500"/>
    <s v="New"/>
    <x v="0"/>
    <s v="Apr-2025"/>
    <s v="2025-04"/>
    <n v="350"/>
    <n v="700"/>
    <s v="Within Range"/>
    <n v="0"/>
  </r>
  <r>
    <x v="25"/>
    <n v="110"/>
    <s v="New"/>
    <x v="0"/>
    <s v="Apr-2025"/>
    <s v="2025-04"/>
    <n v="70"/>
    <n v="140"/>
    <s v="Within Range"/>
    <n v="0"/>
  </r>
  <r>
    <x v="25"/>
    <n v="180"/>
    <s v="Repeat"/>
    <x v="0"/>
    <s v="Apr-2025"/>
    <s v="2025-04"/>
    <n v="70"/>
    <n v="140"/>
    <s v="Above Max"/>
    <n v="0"/>
  </r>
  <r>
    <x v="0"/>
    <n v="60"/>
    <s v="Repeat"/>
    <x v="0"/>
    <s v="Apr-2025"/>
    <s v="2025-04"/>
    <n v="60"/>
    <n v="70"/>
    <s v="Within Range"/>
    <n v="0"/>
  </r>
  <r>
    <x v="0"/>
    <n v="50"/>
    <s v="Repeat"/>
    <x v="0"/>
    <s v="Apr-2025"/>
    <s v="2025-04"/>
    <n v="60"/>
    <n v="70"/>
    <s v="Below Min(Bargain)"/>
    <n v="10"/>
  </r>
  <r>
    <x v="48"/>
    <n v="150"/>
    <s v="New"/>
    <x v="1"/>
    <s v="Apr-2025"/>
    <s v="2025-04"/>
    <n v="30"/>
    <n v="40"/>
    <s v="Above Max"/>
    <n v="0"/>
  </r>
  <r>
    <x v="25"/>
    <n v="120"/>
    <s v="Repeat"/>
    <x v="0"/>
    <s v="Apr-2025"/>
    <s v="2025-04"/>
    <n v="70"/>
    <n v="140"/>
    <s v="Within Range"/>
    <n v="0"/>
  </r>
  <r>
    <x v="25"/>
    <n v="120"/>
    <s v="Repeat"/>
    <x v="0"/>
    <s v="Apr-2025"/>
    <s v="2025-04"/>
    <n v="70"/>
    <n v="140"/>
    <s v="Within Range"/>
    <n v="0"/>
  </r>
  <r>
    <x v="0"/>
    <n v="60"/>
    <s v="Repeat"/>
    <x v="0"/>
    <s v="Apr-2025"/>
    <s v="2025-04"/>
    <n v="60"/>
    <n v="70"/>
    <s v="Within Range"/>
    <n v="0"/>
  </r>
  <r>
    <x v="25"/>
    <n v="140"/>
    <s v="Repeat"/>
    <x v="0"/>
    <s v="Apr-2025"/>
    <s v="2025-04"/>
    <n v="70"/>
    <n v="140"/>
    <s v="Within Range"/>
    <n v="0"/>
  </r>
  <r>
    <x v="37"/>
    <n v="80"/>
    <s v="New"/>
    <x v="1"/>
    <s v="Apr-2025"/>
    <s v="2025-04"/>
    <n v="50"/>
    <n v="150"/>
    <s v="Within Range"/>
    <n v="0"/>
  </r>
  <r>
    <x v="37"/>
    <n v="50"/>
    <s v="New"/>
    <x v="1"/>
    <s v="Apr-2025"/>
    <s v="2025-04"/>
    <n v="50"/>
    <n v="150"/>
    <s v="Within Range"/>
    <n v="0"/>
  </r>
  <r>
    <x v="38"/>
    <n v="150"/>
    <s v="Repeat"/>
    <x v="1"/>
    <s v="Apr-2025"/>
    <s v="2025-04"/>
    <n v="200"/>
    <n v="300"/>
    <s v="Below Min(Bargain)"/>
    <n v="50"/>
  </r>
  <r>
    <x v="47"/>
    <n v="430"/>
    <s v="Repeat"/>
    <x v="1"/>
    <s v="Apr-2025"/>
    <s v="2025-04"/>
    <n v="350"/>
    <n v="350"/>
    <s v="Above Max"/>
    <n v="0"/>
  </r>
  <r>
    <x v="38"/>
    <n v="300"/>
    <s v="Repeat"/>
    <x v="1"/>
    <s v="Apr-2025"/>
    <s v="2025-04"/>
    <n v="200"/>
    <n v="300"/>
    <s v="Within Range"/>
    <n v="0"/>
  </r>
  <r>
    <x v="38"/>
    <n v="250"/>
    <s v="Repeat"/>
    <x v="1"/>
    <s v="Apr-2025"/>
    <s v="2025-04"/>
    <n v="200"/>
    <n v="300"/>
    <s v="Within Range"/>
    <n v="0"/>
  </r>
  <r>
    <x v="46"/>
    <n v="250"/>
    <s v="New"/>
    <x v="1"/>
    <s v="Apr-2025"/>
    <s v="2025-04"/>
    <n v="100"/>
    <n v="500"/>
    <s v="Within Range"/>
    <n v="0"/>
  </r>
  <r>
    <x v="28"/>
    <n v="800"/>
    <s v="Repeat"/>
    <x v="0"/>
    <s v="Apr-2025"/>
    <s v="2025-04"/>
    <n v="850"/>
    <n v="850"/>
    <s v="Below Min(Bargain)"/>
    <n v="50"/>
  </r>
  <r>
    <x v="8"/>
    <n v="500"/>
    <s v="Repeat"/>
    <x v="0"/>
    <s v="Apr-2025"/>
    <s v="2025-04"/>
    <n v="500"/>
    <n v="500"/>
    <s v="Within Range"/>
    <n v="0"/>
  </r>
  <r>
    <x v="0"/>
    <n v="60"/>
    <s v="Repeat"/>
    <x v="0"/>
    <s v="Apr-2025"/>
    <s v="2025-04"/>
    <n v="60"/>
    <n v="70"/>
    <s v="Within Range"/>
    <n v="0"/>
  </r>
  <r>
    <x v="28"/>
    <n v="900"/>
    <s v="Repeat"/>
    <x v="0"/>
    <s v="Apr-2025"/>
    <s v="2025-04"/>
    <n v="850"/>
    <n v="850"/>
    <s v="Above Max"/>
    <n v="0"/>
  </r>
  <r>
    <x v="46"/>
    <n v="300"/>
    <s v="New"/>
    <x v="1"/>
    <s v="Apr-2025"/>
    <s v="2025-04"/>
    <n v="100"/>
    <n v="500"/>
    <s v="Within Range"/>
    <n v="0"/>
  </r>
  <r>
    <x v="25"/>
    <n v="120"/>
    <s v="Repeat"/>
    <x v="0"/>
    <s v="Apr-2025"/>
    <s v="2025-04"/>
    <n v="70"/>
    <n v="140"/>
    <s v="Within Range"/>
    <n v="0"/>
  </r>
  <r>
    <x v="0"/>
    <n v="60"/>
    <s v="Repeat"/>
    <x v="0"/>
    <s v="Apr-2025"/>
    <s v="2025-04"/>
    <n v="60"/>
    <n v="70"/>
    <s v="Within Range"/>
    <n v="0"/>
  </r>
  <r>
    <x v="0"/>
    <n v="60"/>
    <s v="Repeat"/>
    <x v="0"/>
    <s v="Apr-2025"/>
    <s v="2025-04"/>
    <n v="60"/>
    <n v="70"/>
    <s v="Within Range"/>
    <n v="0"/>
  </r>
  <r>
    <x v="15"/>
    <n v="400"/>
    <s v="Repeat"/>
    <x v="0"/>
    <s v="Apr-2025"/>
    <s v="2025-04"/>
    <n v="3500"/>
    <n v="3500"/>
    <s v="Below Min(Bargain)"/>
    <n v="3100"/>
  </r>
  <r>
    <x v="0"/>
    <n v="120"/>
    <s v="Repeat"/>
    <x v="0"/>
    <s v="Apr-2025"/>
    <s v="2025-04"/>
    <n v="60"/>
    <n v="70"/>
    <s v="Above Max"/>
    <n v="0"/>
  </r>
  <r>
    <x v="6"/>
    <n v="700"/>
    <s v="New"/>
    <x v="0"/>
    <s v="Apr-2025"/>
    <s v="2025-04"/>
    <n v="800"/>
    <n v="1000"/>
    <s v="Below Min(Bargain)"/>
    <n v="100"/>
  </r>
  <r>
    <x v="0"/>
    <n v="60"/>
    <s v="Repeat"/>
    <x v="0"/>
    <s v="Apr-2025"/>
    <s v="2025-04"/>
    <n v="60"/>
    <n v="70"/>
    <s v="Within Range"/>
    <n v="0"/>
  </r>
  <r>
    <x v="5"/>
    <n v="360"/>
    <s v="Repeat"/>
    <x v="0"/>
    <s v="Apr-2025"/>
    <s v="2025-04"/>
    <n v="350"/>
    <n v="350"/>
    <s v="Above Max"/>
    <n v="0"/>
  </r>
  <r>
    <x v="0"/>
    <n v="60"/>
    <s v="Repeat"/>
    <x v="0"/>
    <s v="Apr-2025"/>
    <s v="2025-04"/>
    <n v="60"/>
    <n v="70"/>
    <s v="Within Range"/>
    <n v="0"/>
  </r>
  <r>
    <x v="25"/>
    <n v="140"/>
    <s v="Repeat"/>
    <x v="0"/>
    <s v="Apr-2025"/>
    <s v="2025-04"/>
    <n v="70"/>
    <n v="140"/>
    <s v="Within Range"/>
    <n v="0"/>
  </r>
  <r>
    <x v="21"/>
    <n v="200"/>
    <s v="New"/>
    <x v="0"/>
    <s v="Apr-2025"/>
    <s v="2025-04"/>
    <n v="150"/>
    <n v="200"/>
    <s v="Within Range"/>
    <n v="0"/>
  </r>
  <r>
    <x v="7"/>
    <n v="500"/>
    <s v="Repeat"/>
    <x v="0"/>
    <s v="May-2025"/>
    <s v="2025-05"/>
    <n v="500"/>
    <n v="500"/>
    <s v="Within Range"/>
    <n v="0"/>
  </r>
  <r>
    <x v="11"/>
    <n v="300"/>
    <s v="Repeat"/>
    <x v="0"/>
    <s v="May-2025"/>
    <s v="2025-05"/>
    <n v="300"/>
    <n v="300"/>
    <s v="Within Range"/>
    <n v="0"/>
  </r>
  <r>
    <x v="4"/>
    <n v="400"/>
    <s v="Repeat"/>
    <x v="0"/>
    <s v="May-2025"/>
    <s v="2025-05"/>
    <n v="350"/>
    <n v="500"/>
    <s v="Within Range"/>
    <n v="0"/>
  </r>
  <r>
    <x v="42"/>
    <n v="2500"/>
    <s v="New"/>
    <x v="1"/>
    <s v="Apr-2025"/>
    <s v="2025-04"/>
    <n v="1000"/>
    <n v="6000"/>
    <s v="Within Range"/>
    <n v="0"/>
  </r>
  <r>
    <x v="0"/>
    <n v="60"/>
    <s v="Repeat"/>
    <x v="0"/>
    <s v="May-2025"/>
    <s v="2025-05"/>
    <n v="60"/>
    <n v="70"/>
    <s v="Within Range"/>
    <n v="0"/>
  </r>
  <r>
    <x v="7"/>
    <n v="400"/>
    <s v="Repeat"/>
    <x v="0"/>
    <s v="May-2025"/>
    <s v="2025-05"/>
    <n v="500"/>
    <n v="500"/>
    <s v="Below Min(Bargain)"/>
    <n v="100"/>
  </r>
  <r>
    <x v="7"/>
    <n v="400"/>
    <s v="Repeat"/>
    <x v="0"/>
    <s v="May-2025"/>
    <s v="2025-05"/>
    <n v="500"/>
    <n v="500"/>
    <s v="Below Min(Bargain)"/>
    <n v="100"/>
  </r>
  <r>
    <x v="33"/>
    <n v="1100"/>
    <s v="Repeat"/>
    <x v="0"/>
    <s v="May-2025"/>
    <s v="2025-05"/>
    <n v="1100"/>
    <n v="1100"/>
    <s v="Within Range"/>
    <n v="0"/>
  </r>
  <r>
    <x v="0"/>
    <n v="60"/>
    <s v="Repeat"/>
    <x v="0"/>
    <s v="May-2025"/>
    <s v="2025-05"/>
    <n v="60"/>
    <n v="70"/>
    <s v="Within Range"/>
    <n v="0"/>
  </r>
  <r>
    <x v="6"/>
    <n v="700"/>
    <s v="Repeat"/>
    <x v="0"/>
    <s v="May-2025"/>
    <s v="2025-05"/>
    <n v="800"/>
    <n v="1000"/>
    <s v="Below Min(Bargain)"/>
    <n v="100"/>
  </r>
  <r>
    <x v="0"/>
    <n v="100"/>
    <s v="New"/>
    <x v="0"/>
    <s v="May-2025"/>
    <s v="2025-05"/>
    <n v="60"/>
    <n v="70"/>
    <s v="Above Max"/>
    <n v="0"/>
  </r>
  <r>
    <x v="10"/>
    <n v="750"/>
    <s v="Repeat"/>
    <x v="0"/>
    <s v="May-2025"/>
    <s v="2025-05"/>
    <n v="700"/>
    <n v="700"/>
    <s v="Above Max"/>
    <n v="0"/>
  </r>
  <r>
    <x v="38"/>
    <n v="400"/>
    <s v="Repeat"/>
    <x v="1"/>
    <s v="May-2025"/>
    <s v="2025-05"/>
    <n v="200"/>
    <n v="300"/>
    <s v="Above Max"/>
    <n v="0"/>
  </r>
  <r>
    <x v="53"/>
    <n v="1400"/>
    <s v="Repeat"/>
    <x v="0"/>
    <s v="May-2025"/>
    <s v="2025-05"/>
    <n v="1000"/>
    <n v="2000"/>
    <s v="Within Range"/>
    <n v="0"/>
  </r>
  <r>
    <x v="42"/>
    <n v="1700"/>
    <s v="Repeat"/>
    <x v="1"/>
    <s v="May-2025"/>
    <s v="2025-05"/>
    <n v="1000"/>
    <n v="6000"/>
    <s v="Within Range"/>
    <n v="0"/>
  </r>
  <r>
    <x v="38"/>
    <n v="300"/>
    <s v="Repeat"/>
    <x v="1"/>
    <s v="May-2025"/>
    <s v="2025-05"/>
    <n v="200"/>
    <n v="300"/>
    <s v="Within Range"/>
    <n v="0"/>
  </r>
  <r>
    <x v="34"/>
    <n v="800"/>
    <s v="Repeat"/>
    <x v="0"/>
    <s v="May-2025"/>
    <s v="2025-05"/>
    <n v="800"/>
    <n v="800"/>
    <s v="Within Range"/>
    <n v="0"/>
  </r>
  <r>
    <x v="23"/>
    <n v="800"/>
    <s v="Repeat"/>
    <x v="0"/>
    <s v="May-2025"/>
    <s v="2025-05"/>
    <n v="700"/>
    <n v="700"/>
    <s v="Above Max"/>
    <n v="0"/>
  </r>
  <r>
    <x v="48"/>
    <n v="120"/>
    <s v="Repeat"/>
    <x v="1"/>
    <s v="May-2025"/>
    <s v="2025-05"/>
    <n v="30"/>
    <n v="40"/>
    <s v="Above Max"/>
    <n v="0"/>
  </r>
  <r>
    <x v="25"/>
    <n v="120"/>
    <s v="Repeat"/>
    <x v="0"/>
    <s v="May-2025"/>
    <s v="2025-05"/>
    <n v="70"/>
    <n v="140"/>
    <s v="Within Range"/>
    <n v="0"/>
  </r>
  <r>
    <x v="12"/>
    <n v="900"/>
    <s v="Repeat"/>
    <x v="0"/>
    <s v="May-2025"/>
    <s v="2025-05"/>
    <n v="1000"/>
    <n v="1000"/>
    <s v="Below Min(Bargain)"/>
    <n v="100"/>
  </r>
  <r>
    <x v="37"/>
    <n v="40"/>
    <s v="Repeat"/>
    <x v="1"/>
    <s v="May-2025"/>
    <s v="2025-05"/>
    <n v="50"/>
    <n v="150"/>
    <s v="Below Min(Bargain)"/>
    <n v="10"/>
  </r>
  <r>
    <x v="20"/>
    <n v="1300"/>
    <s v="Repeat"/>
    <x v="0"/>
    <s v="May-2025"/>
    <s v="2025-05"/>
    <n v="1000"/>
    <n v="1000"/>
    <s v="Above Max"/>
    <n v="0"/>
  </r>
  <r>
    <x v="39"/>
    <n v="1000"/>
    <s v="Repeat"/>
    <x v="0"/>
    <s v="May-2025"/>
    <s v="2025-05"/>
    <n v="1000"/>
    <n v="1000"/>
    <s v="Within Range"/>
    <n v="0"/>
  </r>
  <r>
    <x v="37"/>
    <n v="200"/>
    <s v="Repeat"/>
    <x v="1"/>
    <s v="May-2025"/>
    <s v="2025-05"/>
    <n v="50"/>
    <n v="150"/>
    <s v="Above Max"/>
    <n v="0"/>
  </r>
  <r>
    <x v="25"/>
    <n v="120"/>
    <s v="Repeat"/>
    <x v="0"/>
    <s v="May-2025"/>
    <s v="2025-05"/>
    <n v="70"/>
    <n v="140"/>
    <s v="Within Range"/>
    <n v="0"/>
  </r>
  <r>
    <x v="37"/>
    <n v="120"/>
    <s v="New"/>
    <x v="1"/>
    <s v="May-2025"/>
    <s v="2025-05"/>
    <n v="50"/>
    <n v="150"/>
    <s v="Within Range"/>
    <n v="0"/>
  </r>
  <r>
    <x v="48"/>
    <n v="40"/>
    <s v="Repeat"/>
    <x v="1"/>
    <s v="May-2025"/>
    <s v="2025-05"/>
    <n v="30"/>
    <n v="40"/>
    <s v="Within Range"/>
    <n v="0"/>
  </r>
  <r>
    <x v="45"/>
    <n v="500"/>
    <s v="Repeat"/>
    <x v="1"/>
    <s v="May-2025"/>
    <s v="2025-05"/>
    <n v="500"/>
    <n v="500"/>
    <s v="Within Range"/>
    <n v="0"/>
  </r>
  <r>
    <x v="43"/>
    <n v="200"/>
    <s v="Repeat"/>
    <x v="1"/>
    <s v="May-2025"/>
    <s v="2025-05"/>
    <n v="200"/>
    <n v="500"/>
    <s v="Within Range"/>
    <n v="0"/>
  </r>
  <r>
    <x v="0"/>
    <n v="60"/>
    <s v="New"/>
    <x v="0"/>
    <s v="May-2025"/>
    <s v="2025-05"/>
    <n v="60"/>
    <n v="70"/>
    <s v="Within Range"/>
    <n v="0"/>
  </r>
  <r>
    <x v="11"/>
    <n v="300"/>
    <s v="New"/>
    <x v="0"/>
    <s v="May-2025"/>
    <s v="2025-05"/>
    <n v="300"/>
    <n v="300"/>
    <s v="Within Range"/>
    <n v="0"/>
  </r>
  <r>
    <x v="38"/>
    <n v="200"/>
    <s v="Repeat"/>
    <x v="1"/>
    <s v="May-2025"/>
    <s v="2025-05"/>
    <n v="200"/>
    <n v="300"/>
    <s v="Within Range"/>
    <n v="0"/>
  </r>
  <r>
    <x v="44"/>
    <n v="300"/>
    <s v="Repeat"/>
    <x v="1"/>
    <s v="May-2025"/>
    <s v="2025-05"/>
    <n v="300"/>
    <n v="500"/>
    <s v="Within Range"/>
    <n v="0"/>
  </r>
  <r>
    <x v="6"/>
    <n v="1000"/>
    <s v="Repeat"/>
    <x v="0"/>
    <s v="May-2025"/>
    <s v="2025-05"/>
    <n v="800"/>
    <n v="1000"/>
    <s v="Within Range"/>
    <n v="0"/>
  </r>
  <r>
    <x v="39"/>
    <n v="1000"/>
    <s v="Repeat"/>
    <x v="0"/>
    <s v="May-2025"/>
    <s v="2025-05"/>
    <n v="1000"/>
    <n v="1000"/>
    <s v="Within Range"/>
    <n v="0"/>
  </r>
  <r>
    <x v="44"/>
    <n v="300"/>
    <s v="Repeat"/>
    <x v="1"/>
    <s v="May-2025"/>
    <s v="2025-05"/>
    <n v="300"/>
    <n v="500"/>
    <s v="Within Range"/>
    <n v="0"/>
  </r>
  <r>
    <x v="0"/>
    <n v="60"/>
    <s v="New"/>
    <x v="0"/>
    <s v="May-2025"/>
    <s v="2025-05"/>
    <n v="60"/>
    <n v="70"/>
    <s v="Within Range"/>
    <n v="0"/>
  </r>
  <r>
    <x v="25"/>
    <n v="120"/>
    <s v="Repeat"/>
    <x v="0"/>
    <s v="May-2025"/>
    <s v="2025-05"/>
    <n v="70"/>
    <n v="140"/>
    <s v="Within Range"/>
    <n v="0"/>
  </r>
  <r>
    <x v="6"/>
    <n v="700"/>
    <s v="Repeat"/>
    <x v="0"/>
    <s v="May-2025"/>
    <s v="2025-05"/>
    <n v="800"/>
    <n v="1000"/>
    <s v="Below Min(Bargain)"/>
    <n v="100"/>
  </r>
  <r>
    <x v="0"/>
    <n v="60"/>
    <s v="Repeat"/>
    <x v="0"/>
    <s v="May-2025"/>
    <s v="2025-05"/>
    <n v="60"/>
    <n v="70"/>
    <s v="Within Range"/>
    <n v="0"/>
  </r>
  <r>
    <x v="9"/>
    <n v="1100"/>
    <s v="Repeat"/>
    <x v="0"/>
    <s v="May-2025"/>
    <s v="2025-05"/>
    <n v="1100"/>
    <n v="1100"/>
    <s v="Within Range"/>
    <n v="0"/>
  </r>
  <r>
    <x v="6"/>
    <n v="700"/>
    <s v="Repeat"/>
    <x v="0"/>
    <s v="May-2025"/>
    <s v="2025-05"/>
    <n v="800"/>
    <n v="1000"/>
    <s v="Below Min(Bargain)"/>
    <n v="100"/>
  </r>
  <r>
    <x v="0"/>
    <n v="180"/>
    <s v="Repeat"/>
    <x v="0"/>
    <s v="May-2025"/>
    <s v="2025-05"/>
    <n v="60"/>
    <n v="70"/>
    <s v="Above Max"/>
    <n v="0"/>
  </r>
  <r>
    <x v="37"/>
    <n v="150"/>
    <s v="New"/>
    <x v="1"/>
    <s v="May-2025"/>
    <s v="2025-05"/>
    <n v="50"/>
    <n v="150"/>
    <s v="Within Range"/>
    <n v="0"/>
  </r>
  <r>
    <x v="37"/>
    <n v="100"/>
    <s v="Repeat"/>
    <x v="1"/>
    <s v="May-2025"/>
    <s v="2025-05"/>
    <n v="50"/>
    <n v="150"/>
    <s v="Within Range"/>
    <n v="0"/>
  </r>
  <r>
    <x v="0"/>
    <n v="180"/>
    <s v="New"/>
    <x v="0"/>
    <s v="Jun-2025"/>
    <s v="2025-06"/>
    <n v="60"/>
    <n v="70"/>
    <s v="Above Max"/>
    <n v="0"/>
  </r>
  <r>
    <x v="37"/>
    <n v="200"/>
    <s v="Repeat"/>
    <x v="1"/>
    <s v="May-2025"/>
    <s v="2025-05"/>
    <n v="50"/>
    <n v="150"/>
    <s v="Above Max"/>
    <n v="0"/>
  </r>
  <r>
    <x v="0"/>
    <n v="50"/>
    <s v="New"/>
    <x v="0"/>
    <s v="Jun-2025"/>
    <s v="2025-06"/>
    <n v="60"/>
    <n v="70"/>
    <s v="Below Min(Bargain)"/>
    <n v="10"/>
  </r>
  <r>
    <x v="9"/>
    <n v="1200"/>
    <s v="New"/>
    <x v="0"/>
    <s v="Jun-2025"/>
    <s v="2025-06"/>
    <n v="1100"/>
    <n v="1100"/>
    <s v="Above Max"/>
    <n v="0"/>
  </r>
  <r>
    <x v="53"/>
    <n v="1200"/>
    <s v="Repeat"/>
    <x v="0"/>
    <s v="Jun-2025"/>
    <s v="2025-06"/>
    <n v="1000"/>
    <n v="2000"/>
    <s v="Within Range"/>
    <n v="0"/>
  </r>
  <r>
    <x v="7"/>
    <n v="500"/>
    <s v="Repeat"/>
    <x v="0"/>
    <s v="Jun-2025"/>
    <s v="2025-06"/>
    <n v="500"/>
    <n v="500"/>
    <s v="Within Range"/>
    <n v="0"/>
  </r>
  <r>
    <x v="6"/>
    <n v="1300"/>
    <s v="Repeat"/>
    <x v="0"/>
    <s v="Jun-2025"/>
    <s v="2025-06"/>
    <n v="800"/>
    <n v="1000"/>
    <s v="Above Max"/>
    <n v="0"/>
  </r>
  <r>
    <x v="3"/>
    <n v="350"/>
    <s v="Repeat"/>
    <x v="0"/>
    <s v="Jun-2025"/>
    <s v="2025-06"/>
    <n v="350"/>
    <n v="700"/>
    <s v="Within Range"/>
    <n v="0"/>
  </r>
  <r>
    <x v="25"/>
    <n v="200"/>
    <s v="Repeat"/>
    <x v="0"/>
    <s v="Jun-2025"/>
    <s v="2025-06"/>
    <n v="70"/>
    <n v="140"/>
    <s v="Above Max"/>
    <n v="0"/>
  </r>
  <r>
    <x v="3"/>
    <n v="350"/>
    <s v="Repeat"/>
    <x v="0"/>
    <s v="Jun-2025"/>
    <s v="2025-06"/>
    <n v="350"/>
    <n v="700"/>
    <s v="Within Range"/>
    <n v="0"/>
  </r>
  <r>
    <x v="38"/>
    <n v="580"/>
    <s v="New"/>
    <x v="1"/>
    <s v="Jun-2025"/>
    <s v="2025-06"/>
    <n v="200"/>
    <n v="300"/>
    <s v="Above Max"/>
    <n v="0"/>
  </r>
  <r>
    <x v="16"/>
    <n v="1900"/>
    <s v="New"/>
    <x v="0"/>
    <s v="Jun-2025"/>
    <s v="2025-06"/>
    <n v="1000"/>
    <n v="2000"/>
    <s v="Within Range"/>
    <n v="0"/>
  </r>
  <r>
    <x v="14"/>
    <n v="250"/>
    <s v="Repeat"/>
    <x v="0"/>
    <s v="Jun-2025"/>
    <s v="2025-06"/>
    <n v="250"/>
    <n v="250"/>
    <s v="Within Range"/>
    <n v="0"/>
  </r>
  <r>
    <x v="10"/>
    <n v="350"/>
    <s v="Repeat"/>
    <x v="0"/>
    <s v="Jun-2025"/>
    <s v="2025-06"/>
    <n v="700"/>
    <n v="700"/>
    <s v="Below Min(Bargain)"/>
    <n v="350"/>
  </r>
  <r>
    <x v="4"/>
    <n v="300"/>
    <s v="Repeat"/>
    <x v="0"/>
    <s v="Jun-2025"/>
    <s v="2025-06"/>
    <n v="350"/>
    <n v="500"/>
    <s v="Below Min(Bargain)"/>
    <n v="50"/>
  </r>
  <r>
    <x v="39"/>
    <n v="1000"/>
    <s v="Repeat"/>
    <x v="0"/>
    <s v="Jun-2025"/>
    <s v="2025-06"/>
    <n v="1000"/>
    <n v="1000"/>
    <s v="Within Range"/>
    <n v="0"/>
  </r>
  <r>
    <x v="48"/>
    <n v="220"/>
    <s v="Repeat"/>
    <x v="1"/>
    <s v="Jun-2025"/>
    <s v="2025-06"/>
    <n v="30"/>
    <n v="40"/>
    <s v="Above Max"/>
    <n v="0"/>
  </r>
  <r>
    <x v="4"/>
    <n v="500"/>
    <s v="Repeat"/>
    <x v="0"/>
    <s v="Jun-2025"/>
    <s v="2025-06"/>
    <n v="350"/>
    <n v="500"/>
    <s v="Within Range"/>
    <n v="0"/>
  </r>
  <r>
    <x v="8"/>
    <n v="430"/>
    <s v="Repeat"/>
    <x v="0"/>
    <s v="Jun-2025"/>
    <s v="2025-06"/>
    <n v="500"/>
    <n v="500"/>
    <s v="Below Min(Bargain)"/>
    <n v="70"/>
  </r>
  <r>
    <x v="0"/>
    <n v="90"/>
    <s v="New"/>
    <x v="0"/>
    <s v="Jun-2025"/>
    <s v="2025-06"/>
    <n v="60"/>
    <n v="70"/>
    <s v="Above Max"/>
    <n v="0"/>
  </r>
  <r>
    <x v="44"/>
    <n v="300"/>
    <s v="Repeat"/>
    <x v="1"/>
    <s v="Jun-2025"/>
    <s v="2025-06"/>
    <n v="300"/>
    <n v="500"/>
    <s v="Within Range"/>
    <n v="0"/>
  </r>
  <r>
    <x v="9"/>
    <n v="1000"/>
    <s v="Repeat"/>
    <x v="0"/>
    <s v="Jun-2025"/>
    <s v="2025-06"/>
    <n v="1100"/>
    <n v="1100"/>
    <s v="Below Min(Bargain)"/>
    <n v="100"/>
  </r>
  <r>
    <x v="54"/>
    <n v="1050"/>
    <s v="Repeat"/>
    <x v="1"/>
    <s v="Jun-2025"/>
    <s v="2025-06"/>
    <n v="700"/>
    <n v="1000"/>
    <s v="Above Max"/>
    <n v="0"/>
  </r>
  <r>
    <x v="37"/>
    <n v="150"/>
    <s v="Repeat"/>
    <x v="1"/>
    <s v="Jun-2025"/>
    <s v="2025-06"/>
    <n v="50"/>
    <n v="150"/>
    <s v="Within Range"/>
    <n v="0"/>
  </r>
  <r>
    <x v="38"/>
    <n v="400"/>
    <s v="Repeat"/>
    <x v="1"/>
    <s v="Jun-2025"/>
    <s v="2025-06"/>
    <n v="200"/>
    <n v="300"/>
    <s v="Above Max"/>
    <n v="0"/>
  </r>
  <r>
    <x v="38"/>
    <n v="200"/>
    <s v="Repeat"/>
    <x v="1"/>
    <s v="Jun-2025"/>
    <s v="2025-06"/>
    <n v="200"/>
    <n v="300"/>
    <s v="Within Range"/>
    <n v="0"/>
  </r>
  <r>
    <x v="38"/>
    <n v="200"/>
    <s v="Repeat"/>
    <x v="1"/>
    <s v="Jun-2025"/>
    <s v="2025-06"/>
    <n v="200"/>
    <n v="300"/>
    <s v="Within Range"/>
    <n v="0"/>
  </r>
  <r>
    <x v="48"/>
    <n v="40"/>
    <s v="Repeat"/>
    <x v="1"/>
    <s v="Jun-2025"/>
    <s v="2025-06"/>
    <n v="30"/>
    <n v="40"/>
    <s v="Within Range"/>
    <n v="0"/>
  </r>
  <r>
    <x v="13"/>
    <n v="300"/>
    <s v="Repeat"/>
    <x v="0"/>
    <s v="Jun-2025"/>
    <s v="2025-06"/>
    <n v="300"/>
    <n v="300"/>
    <s v="Within Range"/>
    <n v="0"/>
  </r>
  <r>
    <x v="6"/>
    <n v="800"/>
    <s v="Repeat"/>
    <x v="0"/>
    <s v="Jun-2025"/>
    <s v="2025-06"/>
    <n v="800"/>
    <n v="1000"/>
    <s v="Within Range"/>
    <n v="0"/>
  </r>
  <r>
    <x v="48"/>
    <n v="40"/>
    <s v="Repeat"/>
    <x v="1"/>
    <s v="Jun-2025"/>
    <s v="2025-06"/>
    <n v="30"/>
    <n v="40"/>
    <s v="Within Range"/>
    <n v="0"/>
  </r>
  <r>
    <x v="5"/>
    <n v="300"/>
    <s v="New"/>
    <x v="0"/>
    <s v="Jun-2025"/>
    <s v="2025-06"/>
    <n v="350"/>
    <n v="350"/>
    <s v="Below Min(Bargain)"/>
    <n v="50"/>
  </r>
  <r>
    <x v="24"/>
    <n v="1560"/>
    <s v="Repeat"/>
    <x v="0"/>
    <s v="Jun-2025"/>
    <s v="2025-06"/>
    <n v="2000"/>
    <n v="2000"/>
    <s v="Below Min(Bargain)"/>
    <n v="440"/>
  </r>
  <r>
    <x v="6"/>
    <n v="700"/>
    <s v="Repeat"/>
    <x v="0"/>
    <s v="Jun-2025"/>
    <s v="2025-06"/>
    <n v="800"/>
    <n v="1000"/>
    <s v="Below Min(Bargain)"/>
    <n v="100"/>
  </r>
  <r>
    <x v="39"/>
    <n v="900"/>
    <s v="Repeat"/>
    <x v="0"/>
    <s v="Jun-2025"/>
    <s v="2025-06"/>
    <n v="1000"/>
    <n v="1000"/>
    <s v="Below Min(Bargain)"/>
    <n v="100"/>
  </r>
  <r>
    <x v="0"/>
    <n v="60"/>
    <s v="Repeat"/>
    <x v="0"/>
    <s v="Jun-2025"/>
    <s v="2025-06"/>
    <n v="60"/>
    <n v="70"/>
    <s v="Within Range"/>
    <n v="0"/>
  </r>
  <r>
    <x v="8"/>
    <n v="500"/>
    <s v="Repeat"/>
    <x v="0"/>
    <s v="Jun-2025"/>
    <s v="2025-06"/>
    <n v="500"/>
    <n v="500"/>
    <s v="Within Range"/>
    <n v="0"/>
  </r>
  <r>
    <x v="0"/>
    <n v="60"/>
    <s v="Repeat"/>
    <x v="0"/>
    <s v="Jun-2025"/>
    <s v="2025-06"/>
    <n v="60"/>
    <n v="70"/>
    <s v="Within Range"/>
    <n v="0"/>
  </r>
  <r>
    <x v="10"/>
    <n v="700"/>
    <s v="Repeat"/>
    <x v="0"/>
    <s v="Jun-2025"/>
    <s v="2025-06"/>
    <n v="700"/>
    <n v="700"/>
    <s v="Within Range"/>
    <n v="0"/>
  </r>
  <r>
    <x v="31"/>
    <n v="200"/>
    <s v="Repeat"/>
    <x v="0"/>
    <s v="Jun-2025"/>
    <s v="2025-06"/>
    <n v="300"/>
    <n v="500"/>
    <s v="Below Min(Bargain)"/>
    <n v="100"/>
  </r>
  <r>
    <x v="25"/>
    <n v="120"/>
    <s v="New"/>
    <x v="0"/>
    <s v="Jun-2025"/>
    <s v="2025-06"/>
    <n v="70"/>
    <n v="140"/>
    <s v="Within Range"/>
    <n v="0"/>
  </r>
  <r>
    <x v="0"/>
    <n v="70"/>
    <s v="Repeat"/>
    <x v="0"/>
    <s v="Jun-2025"/>
    <s v="2025-06"/>
    <n v="60"/>
    <n v="70"/>
    <s v="Within Range"/>
    <n v="0"/>
  </r>
  <r>
    <x v="0"/>
    <n v="60"/>
    <s v="Repeat"/>
    <x v="0"/>
    <s v="Jun-2025"/>
    <s v="2025-06"/>
    <n v="60"/>
    <n v="70"/>
    <s v="Within Range"/>
    <n v="0"/>
  </r>
  <r>
    <x v="39"/>
    <n v="1000"/>
    <s v="Repeat"/>
    <x v="0"/>
    <s v="Jun-2025"/>
    <s v="2025-06"/>
    <n v="1000"/>
    <n v="1000"/>
    <s v="Within Range"/>
    <n v="0"/>
  </r>
  <r>
    <x v="0"/>
    <n v="120"/>
    <s v="Repeat"/>
    <x v="0"/>
    <s v="Jun-2025"/>
    <s v="2025-06"/>
    <n v="60"/>
    <n v="70"/>
    <s v="Above Max"/>
    <n v="0"/>
  </r>
  <r>
    <x v="31"/>
    <n v="300"/>
    <s v="Repeat"/>
    <x v="0"/>
    <s v="Jun-2025"/>
    <s v="2025-06"/>
    <n v="300"/>
    <n v="500"/>
    <s v="Within Range"/>
    <n v="0"/>
  </r>
  <r>
    <x v="0"/>
    <n v="40"/>
    <s v="Repeat"/>
    <x v="0"/>
    <s v="Jun-2025"/>
    <s v="2025-06"/>
    <n v="60"/>
    <n v="70"/>
    <s v="Below Min(Bargain)"/>
    <n v="20"/>
  </r>
  <r>
    <x v="55"/>
    <n v="900"/>
    <s v="Repeat"/>
    <x v="0"/>
    <s v="Jun-2025"/>
    <s v="2025-06"/>
    <n v="900"/>
    <n v="1100"/>
    <s v="Within Range"/>
    <n v="0"/>
  </r>
  <r>
    <x v="0"/>
    <n v="60"/>
    <s v="Repeat"/>
    <x v="0"/>
    <s v="Jun-2025"/>
    <s v="2025-06"/>
    <n v="60"/>
    <n v="70"/>
    <s v="Within Range"/>
    <n v="0"/>
  </r>
  <r>
    <x v="38"/>
    <n v="640"/>
    <s v="New"/>
    <x v="1"/>
    <s v="Jun-2025"/>
    <s v="2025-06"/>
    <n v="200"/>
    <n v="300"/>
    <s v="Above Max"/>
    <n v="0"/>
  </r>
  <r>
    <x v="0"/>
    <n v="60"/>
    <s v="New"/>
    <x v="0"/>
    <s v="Jun-2025"/>
    <s v="2025-06"/>
    <n v="60"/>
    <n v="70"/>
    <s v="Within Range"/>
    <n v="0"/>
  </r>
  <r>
    <x v="39"/>
    <n v="1000"/>
    <s v="New"/>
    <x v="0"/>
    <s v="Jun-2025"/>
    <s v="2025-06"/>
    <n v="1000"/>
    <n v="1000"/>
    <s v="Within Range"/>
    <n v="0"/>
  </r>
  <r>
    <x v="0"/>
    <n v="60"/>
    <s v="Repeat"/>
    <x v="0"/>
    <s v="Jun-2025"/>
    <s v="2025-06"/>
    <n v="60"/>
    <n v="70"/>
    <s v="Within Range"/>
    <n v="0"/>
  </r>
  <r>
    <x v="4"/>
    <n v="400"/>
    <s v="Repeat"/>
    <x v="0"/>
    <s v="Jun-2025"/>
    <s v="2025-06"/>
    <n v="350"/>
    <n v="500"/>
    <s v="Within Range"/>
    <n v="0"/>
  </r>
  <r>
    <x v="0"/>
    <n v="80"/>
    <s v="Repeat"/>
    <x v="0"/>
    <s v="Jun-2025"/>
    <s v="2025-06"/>
    <n v="60"/>
    <n v="70"/>
    <s v="Above Max"/>
    <n v="0"/>
  </r>
  <r>
    <x v="7"/>
    <n v="500"/>
    <s v="Repeat"/>
    <x v="0"/>
    <s v="Jun-2025"/>
    <s v="2025-06"/>
    <n v="500"/>
    <n v="500"/>
    <s v="Within Range"/>
    <n v="0"/>
  </r>
  <r>
    <x v="8"/>
    <n v="500"/>
    <s v="Repeat"/>
    <x v="0"/>
    <s v="Jun-2025"/>
    <s v="2025-06"/>
    <n v="500"/>
    <n v="500"/>
    <s v="Within Range"/>
    <n v="0"/>
  </r>
  <r>
    <x v="0"/>
    <n v="60"/>
    <s v="Repeat"/>
    <x v="0"/>
    <s v="Jun-2025"/>
    <s v="2025-06"/>
    <n v="60"/>
    <n v="70"/>
    <s v="Within Range"/>
    <n v="0"/>
  </r>
  <r>
    <x v="0"/>
    <n v="60"/>
    <s v="Repeat"/>
    <x v="0"/>
    <s v="Jun-2025"/>
    <s v="2025-06"/>
    <n v="60"/>
    <n v="70"/>
    <s v="Within Range"/>
    <n v="0"/>
  </r>
  <r>
    <x v="56"/>
    <n v="1000"/>
    <s v="Repeat"/>
    <x v="1"/>
    <s v="Jun-2025"/>
    <s v="2025-06"/>
    <n v="500"/>
    <n v="2000"/>
    <s v="Within Range"/>
    <n v="0"/>
  </r>
  <r>
    <x v="38"/>
    <n v="300"/>
    <s v="Repeat"/>
    <x v="1"/>
    <s v="Jun-2025"/>
    <s v="2025-06"/>
    <n v="200"/>
    <n v="300"/>
    <s v="Within Range"/>
    <n v="0"/>
  </r>
  <r>
    <x v="44"/>
    <n v="300"/>
    <s v="Repeat"/>
    <x v="1"/>
    <s v="Jun-2025"/>
    <s v="2025-06"/>
    <n v="300"/>
    <n v="500"/>
    <s v="Within Range"/>
    <n v="0"/>
  </r>
  <r>
    <x v="44"/>
    <n v="300"/>
    <s v="Repeat"/>
    <x v="1"/>
    <s v="Jun-2025"/>
    <s v="2025-06"/>
    <n v="300"/>
    <n v="500"/>
    <s v="Within Range"/>
    <n v="0"/>
  </r>
  <r>
    <x v="45"/>
    <n v="500"/>
    <s v="Repeat"/>
    <x v="1"/>
    <s v="Jun-2025"/>
    <s v="2025-06"/>
    <n v="500"/>
    <n v="500"/>
    <s v="Within Range"/>
    <n v="0"/>
  </r>
  <r>
    <x v="0"/>
    <n v="60"/>
    <s v="Repeat"/>
    <x v="0"/>
    <s v="Jun-2025"/>
    <s v="2025-06"/>
    <n v="60"/>
    <n v="70"/>
    <s v="Within Range"/>
    <n v="0"/>
  </r>
  <r>
    <x v="0"/>
    <n v="60"/>
    <s v="Repeat"/>
    <x v="0"/>
    <s v="Jun-2025"/>
    <s v="2025-06"/>
    <n v="60"/>
    <n v="70"/>
    <s v="Within Range"/>
    <n v="0"/>
  </r>
  <r>
    <x v="45"/>
    <n v="500"/>
    <s v="Repeat"/>
    <x v="1"/>
    <s v="Jun-2025"/>
    <s v="2025-06"/>
    <n v="500"/>
    <n v="500"/>
    <s v="Within Range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A47437-EF6D-4177-8A4C-06E9815ABF0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 rowHeaderCaption="Service">
  <location ref="AE38:AF41" firstHeaderRow="1" firstDataRow="1" firstDataCol="1"/>
  <pivotFields count="10">
    <pivotField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Revenue Loss" fld="9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3" type="button" dataOnly="0" labelOnly="1" outline="0" axis="axisRow" fieldPosition="0"/>
    </format>
    <format dxfId="10">
      <pivotArea dataOnly="0" labelOnly="1" fieldPosition="0">
        <references count="1">
          <reference field="3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dataOnly="0" labelOnly="1" grandRow="1" outline="0" fieldPosition="0"/>
    </format>
    <format dxfId="0">
      <pivotArea grandRow="1" outline="0" collapsedLevelsAreSubtotals="1" fieldPosition="0"/>
    </format>
  </formats>
  <chartFormats count="1">
    <chartFormat chart="2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8C5F-502E-43B5-83F9-CD86DAA37395}">
  <dimension ref="A1:N582"/>
  <sheetViews>
    <sheetView workbookViewId="0">
      <selection activeCell="C1" sqref="C1"/>
    </sheetView>
  </sheetViews>
  <sheetFormatPr defaultRowHeight="15.6" x14ac:dyDescent="0.3"/>
  <cols>
    <col min="1" max="1" width="24.44140625" style="4" customWidth="1"/>
    <col min="2" max="2" width="24.44140625" style="3" customWidth="1"/>
    <col min="3" max="3" width="28.5546875" style="3" customWidth="1"/>
    <col min="4" max="4" width="31.88671875" style="3" customWidth="1"/>
    <col min="5" max="5" width="20.109375" style="3" customWidth="1"/>
    <col min="6" max="6" width="15.33203125" style="1" customWidth="1"/>
    <col min="7" max="8" width="8.88671875" style="1"/>
    <col min="9" max="9" width="25.6640625" style="1" customWidth="1"/>
    <col min="10" max="10" width="8.88671875" style="1"/>
    <col min="11" max="11" width="17.6640625" style="1" customWidth="1"/>
    <col min="12" max="12" width="26" style="1" customWidth="1"/>
    <col min="13" max="13" width="17.109375" customWidth="1"/>
  </cols>
  <sheetData>
    <row r="1" spans="1:14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3"/>
      <c r="J1" s="2"/>
      <c r="K1" s="3"/>
      <c r="L1" s="2"/>
      <c r="M1" s="2"/>
      <c r="N1" s="2"/>
    </row>
    <row r="2" spans="1:14" x14ac:dyDescent="0.3">
      <c r="A2" s="4">
        <v>45474</v>
      </c>
      <c r="B2" s="3" t="s">
        <v>5</v>
      </c>
      <c r="C2" s="3">
        <v>70</v>
      </c>
      <c r="D2" s="3" t="s">
        <v>6</v>
      </c>
      <c r="E2" s="3" t="s">
        <v>7</v>
      </c>
      <c r="I2" s="3"/>
      <c r="J2" s="3"/>
      <c r="K2" s="3"/>
      <c r="L2" s="3"/>
      <c r="M2" s="3"/>
      <c r="N2" s="3"/>
    </row>
    <row r="3" spans="1:14" x14ac:dyDescent="0.3">
      <c r="A3" s="4">
        <v>45474</v>
      </c>
      <c r="B3" s="3" t="s">
        <v>5</v>
      </c>
      <c r="C3" s="3">
        <v>70</v>
      </c>
      <c r="D3" s="3" t="s">
        <v>8</v>
      </c>
      <c r="E3" s="3" t="s">
        <v>7</v>
      </c>
      <c r="I3" s="3"/>
      <c r="J3" s="3"/>
      <c r="K3" s="3"/>
      <c r="L3" s="3"/>
      <c r="M3" s="3"/>
      <c r="N3" s="3"/>
    </row>
    <row r="4" spans="1:14" x14ac:dyDescent="0.3">
      <c r="A4" s="4">
        <v>45475</v>
      </c>
      <c r="B4" s="3" t="s">
        <v>5</v>
      </c>
      <c r="C4" s="3">
        <v>70</v>
      </c>
      <c r="D4" s="3" t="s">
        <v>8</v>
      </c>
      <c r="E4" s="3" t="s">
        <v>7</v>
      </c>
      <c r="I4" s="3"/>
      <c r="J4" s="3"/>
      <c r="K4" s="3"/>
      <c r="L4" s="3"/>
      <c r="M4" s="3"/>
      <c r="N4" s="3"/>
    </row>
    <row r="5" spans="1:14" x14ac:dyDescent="0.3">
      <c r="A5" s="4">
        <v>45477</v>
      </c>
      <c r="B5" s="3" t="s">
        <v>5</v>
      </c>
      <c r="C5" s="3">
        <v>60</v>
      </c>
      <c r="D5" s="3" t="s">
        <v>8</v>
      </c>
      <c r="E5" s="3" t="s">
        <v>7</v>
      </c>
      <c r="I5" s="3"/>
      <c r="J5" s="3"/>
      <c r="K5" s="3"/>
      <c r="L5" s="3"/>
      <c r="M5" s="3"/>
      <c r="N5" s="3"/>
    </row>
    <row r="6" spans="1:14" x14ac:dyDescent="0.3">
      <c r="A6" s="4">
        <v>45480</v>
      </c>
      <c r="B6" s="3" t="s">
        <v>9</v>
      </c>
      <c r="C6" s="3">
        <v>4500</v>
      </c>
      <c r="D6" s="3" t="s">
        <v>8</v>
      </c>
      <c r="E6" s="3" t="s">
        <v>7</v>
      </c>
      <c r="I6" s="3"/>
      <c r="J6" s="3"/>
      <c r="K6" s="3"/>
      <c r="L6" s="3"/>
      <c r="M6" s="3"/>
      <c r="N6" s="3"/>
    </row>
    <row r="7" spans="1:14" x14ac:dyDescent="0.3">
      <c r="A7" s="4">
        <v>45483</v>
      </c>
      <c r="B7" s="3" t="s">
        <v>10</v>
      </c>
      <c r="C7" s="3">
        <v>850</v>
      </c>
      <c r="D7" s="3" t="s">
        <v>8</v>
      </c>
      <c r="E7" s="3" t="s">
        <v>7</v>
      </c>
      <c r="I7" s="3"/>
      <c r="J7" s="3"/>
      <c r="K7" s="3"/>
      <c r="L7" s="3"/>
      <c r="M7" s="3"/>
      <c r="N7" s="3"/>
    </row>
    <row r="8" spans="1:14" x14ac:dyDescent="0.3">
      <c r="A8" s="4">
        <v>45483</v>
      </c>
      <c r="B8" s="3" t="s">
        <v>11</v>
      </c>
      <c r="C8" s="3">
        <v>140</v>
      </c>
      <c r="D8" s="3" t="s">
        <v>8</v>
      </c>
      <c r="E8" s="3" t="s">
        <v>7</v>
      </c>
      <c r="I8" s="3"/>
      <c r="J8" s="3"/>
      <c r="K8" s="3"/>
      <c r="L8" s="3"/>
      <c r="M8" s="3"/>
      <c r="N8" s="3"/>
    </row>
    <row r="9" spans="1:14" x14ac:dyDescent="0.3">
      <c r="A9" s="4">
        <v>45483</v>
      </c>
      <c r="B9" s="3" t="s">
        <v>5</v>
      </c>
      <c r="C9" s="3">
        <v>60</v>
      </c>
      <c r="D9" s="3" t="s">
        <v>8</v>
      </c>
      <c r="E9" s="3" t="s">
        <v>7</v>
      </c>
      <c r="I9" s="3"/>
      <c r="J9" s="3"/>
      <c r="K9" s="3"/>
      <c r="L9" s="3"/>
      <c r="M9" s="3"/>
      <c r="N9" s="3"/>
    </row>
    <row r="10" spans="1:14" x14ac:dyDescent="0.3">
      <c r="A10" s="4">
        <v>45486</v>
      </c>
      <c r="B10" s="3" t="s">
        <v>5</v>
      </c>
      <c r="C10" s="3">
        <v>60</v>
      </c>
      <c r="D10" s="3" t="s">
        <v>6</v>
      </c>
      <c r="E10" s="3" t="s">
        <v>7</v>
      </c>
      <c r="I10" s="3"/>
      <c r="J10" s="3"/>
      <c r="K10" s="3"/>
      <c r="L10" s="3"/>
      <c r="M10" s="3"/>
      <c r="N10" s="3"/>
    </row>
    <row r="11" spans="1:14" x14ac:dyDescent="0.3">
      <c r="A11" s="4">
        <v>45487</v>
      </c>
      <c r="B11" s="3" t="s">
        <v>5</v>
      </c>
      <c r="C11" s="3">
        <v>60</v>
      </c>
      <c r="D11" s="3" t="s">
        <v>6</v>
      </c>
      <c r="E11" s="3" t="s">
        <v>7</v>
      </c>
      <c r="I11" s="3"/>
      <c r="J11" s="3"/>
      <c r="K11" s="3"/>
      <c r="L11" s="3"/>
      <c r="M11" s="3"/>
      <c r="N11" s="3"/>
    </row>
    <row r="12" spans="1:14" x14ac:dyDescent="0.3">
      <c r="A12" s="4">
        <v>45488</v>
      </c>
      <c r="B12" s="3" t="s">
        <v>5</v>
      </c>
      <c r="C12" s="3">
        <v>60</v>
      </c>
      <c r="D12" s="3" t="s">
        <v>8</v>
      </c>
      <c r="E12" s="3" t="s">
        <v>7</v>
      </c>
      <c r="I12" s="3"/>
      <c r="J12" s="3"/>
      <c r="K12" s="3"/>
      <c r="L12" s="3"/>
      <c r="M12" s="3"/>
      <c r="N12" s="3"/>
    </row>
    <row r="13" spans="1:14" x14ac:dyDescent="0.3">
      <c r="A13" s="4">
        <v>45489</v>
      </c>
      <c r="B13" s="3" t="s">
        <v>5</v>
      </c>
      <c r="C13" s="3">
        <v>60</v>
      </c>
      <c r="D13" s="3" t="s">
        <v>8</v>
      </c>
      <c r="E13" s="3" t="s">
        <v>7</v>
      </c>
      <c r="I13" s="3"/>
      <c r="J13" s="3"/>
      <c r="K13" s="3"/>
      <c r="L13" s="3"/>
      <c r="M13" s="3"/>
      <c r="N13" s="3"/>
    </row>
    <row r="14" spans="1:14" x14ac:dyDescent="0.3">
      <c r="A14" s="4">
        <v>45488</v>
      </c>
      <c r="B14" s="3" t="s">
        <v>12</v>
      </c>
      <c r="C14" s="3">
        <v>200</v>
      </c>
      <c r="D14" s="3" t="s">
        <v>8</v>
      </c>
      <c r="E14" s="3" t="s">
        <v>7</v>
      </c>
      <c r="I14" s="3"/>
      <c r="J14" s="3"/>
      <c r="K14" s="3"/>
      <c r="L14" s="3"/>
      <c r="M14" s="3"/>
      <c r="N14" s="3"/>
    </row>
    <row r="15" spans="1:14" x14ac:dyDescent="0.3">
      <c r="A15" s="4">
        <v>45489</v>
      </c>
      <c r="B15" s="3" t="s">
        <v>5</v>
      </c>
      <c r="C15" s="3">
        <v>100</v>
      </c>
      <c r="D15" s="3" t="s">
        <v>8</v>
      </c>
      <c r="E15" s="3" t="s">
        <v>7</v>
      </c>
      <c r="I15" s="3"/>
      <c r="J15" s="3"/>
      <c r="K15" s="3"/>
      <c r="L15" s="3"/>
      <c r="M15" s="3"/>
      <c r="N15" s="3"/>
    </row>
    <row r="16" spans="1:14" x14ac:dyDescent="0.3">
      <c r="A16" s="4">
        <v>45489</v>
      </c>
      <c r="B16" s="3" t="s">
        <v>13</v>
      </c>
      <c r="C16" s="3">
        <v>350</v>
      </c>
      <c r="D16" s="3" t="s">
        <v>8</v>
      </c>
      <c r="E16" s="3" t="s">
        <v>7</v>
      </c>
      <c r="I16" s="3"/>
      <c r="J16" s="3"/>
      <c r="K16" s="3"/>
      <c r="L16" s="3"/>
      <c r="M16" s="3"/>
      <c r="N16" s="3"/>
    </row>
    <row r="17" spans="1:14" x14ac:dyDescent="0.3">
      <c r="A17" s="4">
        <v>45492</v>
      </c>
      <c r="B17" s="3" t="s">
        <v>14</v>
      </c>
      <c r="C17" s="3">
        <v>700</v>
      </c>
      <c r="D17" s="3" t="s">
        <v>8</v>
      </c>
      <c r="E17" s="3" t="s">
        <v>7</v>
      </c>
      <c r="I17" s="3"/>
      <c r="J17" s="3"/>
      <c r="K17" s="3"/>
      <c r="L17" s="3"/>
      <c r="M17" s="3"/>
      <c r="N17" s="3"/>
    </row>
    <row r="18" spans="1:14" x14ac:dyDescent="0.3">
      <c r="A18" s="4">
        <v>45492</v>
      </c>
      <c r="B18" s="3" t="s">
        <v>5</v>
      </c>
      <c r="C18" s="3">
        <v>50</v>
      </c>
      <c r="D18" s="3" t="s">
        <v>6</v>
      </c>
      <c r="E18" s="3" t="s">
        <v>7</v>
      </c>
      <c r="I18" s="3"/>
      <c r="J18" s="3"/>
      <c r="K18" s="3"/>
      <c r="L18" s="3"/>
      <c r="M18" s="3"/>
      <c r="N18" s="3"/>
    </row>
    <row r="19" spans="1:14" x14ac:dyDescent="0.3">
      <c r="A19" s="4">
        <v>45492</v>
      </c>
      <c r="B19" s="3" t="s">
        <v>15</v>
      </c>
      <c r="C19" s="6">
        <v>500</v>
      </c>
      <c r="D19" s="3" t="s">
        <v>8</v>
      </c>
      <c r="E19" s="3" t="s">
        <v>7</v>
      </c>
      <c r="I19" s="3"/>
      <c r="J19" s="3"/>
      <c r="K19" s="3"/>
      <c r="L19" s="3"/>
      <c r="M19" s="3"/>
      <c r="N19" s="3"/>
    </row>
    <row r="20" spans="1:14" x14ac:dyDescent="0.3">
      <c r="A20" s="4">
        <v>45492</v>
      </c>
      <c r="B20" s="3" t="s">
        <v>16</v>
      </c>
      <c r="C20" s="6">
        <v>400</v>
      </c>
      <c r="D20" s="3" t="s">
        <v>8</v>
      </c>
      <c r="E20" s="3" t="s">
        <v>7</v>
      </c>
      <c r="I20" s="3"/>
      <c r="J20" s="3"/>
      <c r="K20" s="3"/>
      <c r="L20" s="3"/>
      <c r="M20" s="3"/>
      <c r="N20" s="3"/>
    </row>
    <row r="21" spans="1:14" x14ac:dyDescent="0.3">
      <c r="A21" s="4">
        <v>45493</v>
      </c>
      <c r="B21" s="3" t="s">
        <v>5</v>
      </c>
      <c r="C21" s="3">
        <v>50</v>
      </c>
      <c r="D21" s="3" t="s">
        <v>8</v>
      </c>
      <c r="E21" s="3" t="s">
        <v>7</v>
      </c>
      <c r="I21" s="3"/>
      <c r="J21" s="3"/>
      <c r="K21" s="3"/>
      <c r="L21" s="3"/>
      <c r="M21" s="3"/>
      <c r="N21" s="3"/>
    </row>
    <row r="22" spans="1:14" x14ac:dyDescent="0.3">
      <c r="A22" s="4">
        <v>45495</v>
      </c>
      <c r="B22" s="3" t="s">
        <v>17</v>
      </c>
      <c r="C22" s="3">
        <v>1100</v>
      </c>
      <c r="D22" s="3" t="s">
        <v>6</v>
      </c>
      <c r="E22" s="3" t="s">
        <v>7</v>
      </c>
      <c r="I22" s="3"/>
      <c r="J22" s="3"/>
      <c r="K22" s="3"/>
      <c r="L22" s="3"/>
      <c r="M22" s="3"/>
      <c r="N22" s="3"/>
    </row>
    <row r="23" spans="1:14" x14ac:dyDescent="0.3">
      <c r="A23" s="4">
        <v>45495</v>
      </c>
      <c r="B23" s="3" t="s">
        <v>5</v>
      </c>
      <c r="C23" s="3">
        <v>50</v>
      </c>
      <c r="D23" s="3" t="s">
        <v>8</v>
      </c>
      <c r="E23" s="3" t="s">
        <v>7</v>
      </c>
      <c r="I23" s="3"/>
      <c r="J23" s="3"/>
      <c r="K23" s="3"/>
      <c r="L23" s="3"/>
      <c r="M23" s="3"/>
      <c r="N23" s="3"/>
    </row>
    <row r="24" spans="1:14" x14ac:dyDescent="0.3">
      <c r="A24" s="4">
        <v>45495</v>
      </c>
      <c r="B24" s="3" t="s">
        <v>11</v>
      </c>
      <c r="C24" s="3">
        <v>450</v>
      </c>
      <c r="D24" s="3" t="s">
        <v>8</v>
      </c>
      <c r="E24" s="3" t="s">
        <v>7</v>
      </c>
      <c r="I24" s="3"/>
      <c r="J24" s="3"/>
      <c r="K24" s="3"/>
      <c r="L24" s="3"/>
      <c r="M24" s="3"/>
      <c r="N24" s="3"/>
    </row>
    <row r="25" spans="1:14" x14ac:dyDescent="0.3">
      <c r="A25" s="4">
        <v>45496</v>
      </c>
      <c r="B25" s="3" t="s">
        <v>14</v>
      </c>
      <c r="C25" s="6">
        <v>740</v>
      </c>
      <c r="D25" s="3" t="s">
        <v>8</v>
      </c>
      <c r="E25" s="3" t="s">
        <v>7</v>
      </c>
      <c r="I25" s="3"/>
      <c r="J25" s="3"/>
      <c r="K25" s="3"/>
      <c r="L25" s="3"/>
      <c r="M25" s="3"/>
      <c r="N25" s="3"/>
    </row>
    <row r="26" spans="1:14" x14ac:dyDescent="0.3">
      <c r="A26" s="4">
        <v>45496</v>
      </c>
      <c r="B26" s="3" t="s">
        <v>5</v>
      </c>
      <c r="C26" s="6">
        <v>60</v>
      </c>
      <c r="D26" s="3" t="s">
        <v>8</v>
      </c>
      <c r="E26" s="3" t="s">
        <v>7</v>
      </c>
      <c r="I26" s="3"/>
      <c r="J26" s="3"/>
      <c r="K26" s="3"/>
      <c r="L26" s="3"/>
      <c r="M26" s="3"/>
      <c r="N26" s="3"/>
    </row>
    <row r="27" spans="1:14" x14ac:dyDescent="0.3">
      <c r="A27" s="4">
        <v>45497</v>
      </c>
      <c r="B27" s="3" t="s">
        <v>14</v>
      </c>
      <c r="C27" s="6">
        <v>600</v>
      </c>
      <c r="D27" s="3" t="s">
        <v>8</v>
      </c>
      <c r="E27" s="3" t="s">
        <v>7</v>
      </c>
      <c r="I27" s="3"/>
      <c r="J27" s="3"/>
      <c r="K27" s="3"/>
      <c r="L27" s="3"/>
      <c r="M27" s="3"/>
      <c r="N27" s="3"/>
    </row>
    <row r="28" spans="1:14" x14ac:dyDescent="0.3">
      <c r="A28" s="4">
        <v>45497</v>
      </c>
      <c r="B28" s="3" t="s">
        <v>14</v>
      </c>
      <c r="C28" s="6">
        <v>550</v>
      </c>
      <c r="D28" s="3" t="s">
        <v>8</v>
      </c>
      <c r="E28" s="3" t="s">
        <v>7</v>
      </c>
      <c r="I28" s="3"/>
      <c r="J28" s="3"/>
      <c r="K28" s="3"/>
      <c r="L28" s="3"/>
      <c r="M28" s="3"/>
      <c r="N28" s="3"/>
    </row>
    <row r="29" spans="1:14" x14ac:dyDescent="0.3">
      <c r="A29" s="4">
        <v>45497</v>
      </c>
      <c r="B29" s="3" t="s">
        <v>5</v>
      </c>
      <c r="C29" s="3">
        <v>60</v>
      </c>
      <c r="D29" s="3" t="s">
        <v>6</v>
      </c>
      <c r="E29" s="3" t="s">
        <v>7</v>
      </c>
      <c r="I29" s="3"/>
      <c r="J29" s="3"/>
      <c r="K29" s="3"/>
      <c r="L29" s="3"/>
      <c r="M29" s="3"/>
      <c r="N29" s="3"/>
    </row>
    <row r="30" spans="1:14" x14ac:dyDescent="0.3">
      <c r="A30" s="4">
        <v>45498</v>
      </c>
      <c r="B30" s="3" t="s">
        <v>18</v>
      </c>
      <c r="C30" s="3">
        <v>300</v>
      </c>
      <c r="D30" s="3" t="s">
        <v>8</v>
      </c>
      <c r="E30" s="3" t="s">
        <v>7</v>
      </c>
      <c r="I30" s="3"/>
      <c r="J30" s="3"/>
      <c r="K30" s="3"/>
      <c r="L30" s="3"/>
      <c r="M30" s="3"/>
      <c r="N30" s="3"/>
    </row>
    <row r="31" spans="1:14" x14ac:dyDescent="0.3">
      <c r="A31" s="4">
        <v>45498</v>
      </c>
      <c r="B31" s="3" t="s">
        <v>5</v>
      </c>
      <c r="C31" s="3">
        <v>40</v>
      </c>
      <c r="D31" s="3" t="s">
        <v>8</v>
      </c>
      <c r="E31" s="3" t="s">
        <v>7</v>
      </c>
      <c r="I31" s="3"/>
      <c r="J31" s="3"/>
      <c r="K31" s="3"/>
      <c r="L31" s="3"/>
      <c r="M31" s="3"/>
      <c r="N31" s="3"/>
    </row>
    <row r="32" spans="1:14" x14ac:dyDescent="0.3">
      <c r="A32" s="4">
        <v>45498</v>
      </c>
      <c r="B32" s="3" t="s">
        <v>18</v>
      </c>
      <c r="C32" s="3">
        <v>500</v>
      </c>
      <c r="D32" s="3" t="s">
        <v>8</v>
      </c>
      <c r="E32" s="3" t="s">
        <v>7</v>
      </c>
      <c r="I32" s="3"/>
      <c r="J32" s="3"/>
      <c r="K32" s="3"/>
      <c r="L32" s="3"/>
      <c r="M32" s="3"/>
      <c r="N32" s="3"/>
    </row>
    <row r="33" spans="1:14" x14ac:dyDescent="0.3">
      <c r="A33" s="4">
        <v>45498</v>
      </c>
      <c r="B33" s="3" t="s">
        <v>19</v>
      </c>
      <c r="C33" s="3">
        <v>270</v>
      </c>
      <c r="D33" s="3" t="s">
        <v>8</v>
      </c>
      <c r="E33" s="3" t="s">
        <v>7</v>
      </c>
      <c r="I33" s="3"/>
      <c r="J33" s="3"/>
      <c r="K33" s="3"/>
      <c r="L33" s="3"/>
      <c r="M33" s="3"/>
      <c r="N33" s="3"/>
    </row>
    <row r="34" spans="1:14" x14ac:dyDescent="0.3">
      <c r="A34" s="4">
        <v>45499</v>
      </c>
      <c r="B34" s="3" t="s">
        <v>16</v>
      </c>
      <c r="C34" s="6">
        <v>450</v>
      </c>
      <c r="D34" s="3" t="s">
        <v>8</v>
      </c>
      <c r="E34" s="3" t="s">
        <v>7</v>
      </c>
      <c r="I34" s="3"/>
      <c r="J34" s="3"/>
      <c r="K34" s="3"/>
      <c r="L34" s="3"/>
      <c r="M34" s="3"/>
      <c r="N34" s="3"/>
    </row>
    <row r="35" spans="1:14" x14ac:dyDescent="0.3">
      <c r="A35" s="4">
        <v>45499</v>
      </c>
      <c r="B35" s="3" t="s">
        <v>5</v>
      </c>
      <c r="C35" s="6">
        <v>50</v>
      </c>
      <c r="D35" s="3" t="s">
        <v>8</v>
      </c>
      <c r="E35" s="3" t="s">
        <v>7</v>
      </c>
      <c r="I35" s="3"/>
      <c r="J35" s="3"/>
      <c r="K35" s="3"/>
      <c r="L35" s="3"/>
      <c r="M35" s="3"/>
      <c r="N35" s="3"/>
    </row>
    <row r="36" spans="1:14" x14ac:dyDescent="0.3">
      <c r="A36" s="4">
        <v>45502</v>
      </c>
      <c r="B36" s="3" t="s">
        <v>5</v>
      </c>
      <c r="C36" s="3">
        <v>50</v>
      </c>
      <c r="D36" s="3" t="s">
        <v>6</v>
      </c>
      <c r="E36" s="3" t="s">
        <v>7</v>
      </c>
      <c r="I36" s="3"/>
      <c r="J36" s="3"/>
      <c r="K36" s="3"/>
      <c r="L36" s="3"/>
      <c r="M36" s="3"/>
      <c r="N36" s="3"/>
    </row>
    <row r="37" spans="1:14" x14ac:dyDescent="0.3">
      <c r="A37" s="4">
        <v>45502</v>
      </c>
      <c r="B37" s="3" t="s">
        <v>5</v>
      </c>
      <c r="C37" s="3">
        <v>50</v>
      </c>
      <c r="D37" s="3" t="s">
        <v>8</v>
      </c>
      <c r="E37" s="3" t="s">
        <v>7</v>
      </c>
      <c r="I37" s="3"/>
      <c r="J37" s="3"/>
      <c r="K37" s="3"/>
      <c r="L37" s="3"/>
      <c r="M37" s="3"/>
      <c r="N37" s="3"/>
    </row>
    <row r="38" spans="1:14" x14ac:dyDescent="0.3">
      <c r="A38" s="4">
        <v>45502</v>
      </c>
      <c r="B38" s="3" t="s">
        <v>15</v>
      </c>
      <c r="C38" s="3">
        <v>500</v>
      </c>
      <c r="D38" s="3" t="s">
        <v>8</v>
      </c>
      <c r="E38" s="3" t="s">
        <v>7</v>
      </c>
      <c r="I38" s="3"/>
      <c r="J38" s="3"/>
      <c r="K38" s="3"/>
      <c r="L38" s="3"/>
      <c r="M38" s="3"/>
      <c r="N38" s="3"/>
    </row>
    <row r="39" spans="1:14" x14ac:dyDescent="0.3">
      <c r="A39" s="4">
        <v>45504</v>
      </c>
      <c r="B39" s="3" t="s">
        <v>5</v>
      </c>
      <c r="C39" s="3">
        <v>50</v>
      </c>
      <c r="D39" s="3" t="s">
        <v>8</v>
      </c>
      <c r="E39" s="3" t="s">
        <v>7</v>
      </c>
      <c r="I39" s="3"/>
      <c r="J39" s="3"/>
      <c r="K39" s="3"/>
      <c r="L39" s="3"/>
      <c r="M39" s="3"/>
      <c r="N39" s="3"/>
    </row>
    <row r="40" spans="1:14" x14ac:dyDescent="0.3">
      <c r="A40" s="4">
        <v>45504</v>
      </c>
      <c r="B40" s="3" t="s">
        <v>5</v>
      </c>
      <c r="C40" s="3">
        <v>50</v>
      </c>
      <c r="D40" s="3" t="s">
        <v>8</v>
      </c>
      <c r="E40" s="3" t="s">
        <v>7</v>
      </c>
      <c r="I40" s="3"/>
      <c r="J40" s="3"/>
      <c r="K40" s="3"/>
      <c r="L40" s="3"/>
      <c r="M40" s="3"/>
      <c r="N40" s="3"/>
    </row>
    <row r="41" spans="1:14" x14ac:dyDescent="0.3">
      <c r="A41" s="4">
        <v>45505</v>
      </c>
      <c r="B41" s="3" t="s">
        <v>20</v>
      </c>
      <c r="C41" s="3">
        <v>800</v>
      </c>
      <c r="D41" s="3" t="s">
        <v>8</v>
      </c>
      <c r="E41" s="3" t="s">
        <v>7</v>
      </c>
      <c r="I41" s="3"/>
      <c r="J41" s="3"/>
      <c r="K41" s="3"/>
      <c r="L41" s="3"/>
      <c r="M41" s="3"/>
      <c r="N41" s="3"/>
    </row>
    <row r="42" spans="1:14" x14ac:dyDescent="0.3">
      <c r="A42" s="4">
        <v>45506</v>
      </c>
      <c r="B42" s="3" t="s">
        <v>18</v>
      </c>
      <c r="C42" s="6">
        <v>400</v>
      </c>
      <c r="D42" s="3" t="s">
        <v>8</v>
      </c>
      <c r="E42" s="3" t="s">
        <v>7</v>
      </c>
      <c r="I42" s="3"/>
      <c r="J42" s="3"/>
      <c r="K42" s="3"/>
      <c r="L42" s="3"/>
      <c r="M42" s="3"/>
      <c r="N42" s="3"/>
    </row>
    <row r="43" spans="1:14" x14ac:dyDescent="0.3">
      <c r="A43" s="4">
        <v>45506</v>
      </c>
      <c r="B43" s="3" t="s">
        <v>5</v>
      </c>
      <c r="C43" s="6">
        <v>50</v>
      </c>
      <c r="D43" s="3" t="s">
        <v>8</v>
      </c>
      <c r="E43" s="3" t="s">
        <v>7</v>
      </c>
      <c r="I43" s="3"/>
      <c r="J43" s="3"/>
      <c r="K43" s="3"/>
      <c r="L43" s="3"/>
      <c r="M43" s="3"/>
      <c r="N43" s="3"/>
    </row>
    <row r="44" spans="1:14" x14ac:dyDescent="0.3">
      <c r="A44" s="4">
        <v>45506</v>
      </c>
      <c r="B44" s="3" t="s">
        <v>5</v>
      </c>
      <c r="C44" s="6">
        <v>50</v>
      </c>
      <c r="D44" s="3" t="s">
        <v>8</v>
      </c>
      <c r="E44" s="3" t="s">
        <v>7</v>
      </c>
      <c r="I44" s="3"/>
      <c r="J44" s="3"/>
      <c r="K44" s="3"/>
      <c r="L44" s="3"/>
      <c r="M44" s="3"/>
      <c r="N44" s="3"/>
    </row>
    <row r="45" spans="1:14" x14ac:dyDescent="0.3">
      <c r="A45" s="4">
        <v>45507</v>
      </c>
      <c r="B45" s="3" t="s">
        <v>18</v>
      </c>
      <c r="C45" s="6">
        <v>400</v>
      </c>
      <c r="D45" s="3" t="s">
        <v>8</v>
      </c>
      <c r="E45" s="3" t="s">
        <v>7</v>
      </c>
      <c r="I45" s="3"/>
      <c r="J45" s="3"/>
      <c r="K45" s="3"/>
      <c r="L45" s="3"/>
      <c r="M45" s="3"/>
      <c r="N45" s="3"/>
    </row>
    <row r="46" spans="1:14" x14ac:dyDescent="0.3">
      <c r="A46" s="4">
        <v>45507</v>
      </c>
      <c r="B46" s="3" t="s">
        <v>5</v>
      </c>
      <c r="C46" s="6">
        <v>50</v>
      </c>
      <c r="D46" s="3" t="s">
        <v>8</v>
      </c>
      <c r="E46" s="3" t="s">
        <v>7</v>
      </c>
      <c r="I46" s="3"/>
      <c r="J46" s="3"/>
      <c r="K46" s="3"/>
      <c r="L46" s="3"/>
      <c r="M46" s="3"/>
      <c r="N46" s="3"/>
    </row>
    <row r="47" spans="1:14" x14ac:dyDescent="0.3">
      <c r="A47" s="4">
        <v>45507</v>
      </c>
      <c r="B47" s="3" t="s">
        <v>5</v>
      </c>
      <c r="C47" s="6">
        <v>50</v>
      </c>
      <c r="D47" s="3" t="s">
        <v>8</v>
      </c>
      <c r="E47" s="3" t="s">
        <v>7</v>
      </c>
      <c r="I47" s="3"/>
      <c r="J47" s="3"/>
      <c r="K47" s="3"/>
      <c r="L47" s="3"/>
      <c r="M47" s="3"/>
      <c r="N47" s="3"/>
    </row>
    <row r="48" spans="1:14" x14ac:dyDescent="0.3">
      <c r="A48" s="4">
        <v>45509</v>
      </c>
      <c r="B48" s="3" t="s">
        <v>21</v>
      </c>
      <c r="C48" s="6">
        <v>300</v>
      </c>
      <c r="D48" s="3" t="s">
        <v>8</v>
      </c>
      <c r="E48" s="3" t="s">
        <v>7</v>
      </c>
      <c r="I48" s="3"/>
      <c r="J48" s="3"/>
      <c r="K48" s="3"/>
      <c r="L48" s="3"/>
      <c r="M48" s="3"/>
      <c r="N48" s="3"/>
    </row>
    <row r="49" spans="1:14" x14ac:dyDescent="0.3">
      <c r="A49" s="4">
        <v>45509</v>
      </c>
      <c r="B49" s="3" t="s">
        <v>22</v>
      </c>
      <c r="C49" s="6">
        <v>250</v>
      </c>
      <c r="D49" s="3" t="s">
        <v>8</v>
      </c>
      <c r="E49" s="3" t="s">
        <v>7</v>
      </c>
      <c r="I49" s="3"/>
      <c r="J49" s="3"/>
      <c r="K49" s="3"/>
      <c r="L49" s="3"/>
      <c r="M49" s="3"/>
      <c r="N49" s="3"/>
    </row>
    <row r="50" spans="1:14" x14ac:dyDescent="0.3">
      <c r="A50" s="4">
        <v>45513</v>
      </c>
      <c r="B50" s="3" t="s">
        <v>18</v>
      </c>
      <c r="C50" s="3">
        <v>700</v>
      </c>
      <c r="D50" s="3" t="s">
        <v>8</v>
      </c>
      <c r="E50" s="3" t="s">
        <v>7</v>
      </c>
      <c r="I50" s="3"/>
      <c r="J50" s="3"/>
      <c r="K50" s="3"/>
      <c r="L50" s="3"/>
      <c r="M50" s="3"/>
      <c r="N50" s="3"/>
    </row>
    <row r="51" spans="1:14" x14ac:dyDescent="0.3">
      <c r="A51" s="4">
        <v>45513</v>
      </c>
      <c r="B51" s="3" t="s">
        <v>23</v>
      </c>
      <c r="C51" s="3">
        <v>250</v>
      </c>
      <c r="D51" s="3" t="s">
        <v>6</v>
      </c>
      <c r="E51" s="3" t="s">
        <v>7</v>
      </c>
      <c r="I51" s="3"/>
      <c r="J51" s="3"/>
      <c r="K51" s="3"/>
      <c r="L51" s="3"/>
      <c r="M51" s="3"/>
      <c r="N51" s="3"/>
    </row>
    <row r="52" spans="1:14" x14ac:dyDescent="0.3">
      <c r="A52" s="4">
        <v>45513</v>
      </c>
      <c r="B52" s="3" t="s">
        <v>5</v>
      </c>
      <c r="C52" s="3">
        <v>70</v>
      </c>
      <c r="D52" s="3" t="s">
        <v>8</v>
      </c>
      <c r="E52" s="3" t="s">
        <v>7</v>
      </c>
      <c r="I52" s="3"/>
      <c r="J52" s="3"/>
      <c r="K52" s="3"/>
      <c r="L52" s="3"/>
      <c r="M52" s="3"/>
      <c r="N52" s="3"/>
    </row>
    <row r="53" spans="1:14" x14ac:dyDescent="0.3">
      <c r="A53" s="4">
        <v>45514</v>
      </c>
      <c r="B53" s="3" t="s">
        <v>5</v>
      </c>
      <c r="C53" s="3">
        <v>70</v>
      </c>
      <c r="D53" s="3" t="s">
        <v>8</v>
      </c>
      <c r="E53" s="3" t="s">
        <v>7</v>
      </c>
      <c r="I53" s="3"/>
      <c r="J53" s="3"/>
      <c r="K53" s="3"/>
      <c r="L53" s="3"/>
      <c r="M53" s="3"/>
      <c r="N53" s="3"/>
    </row>
    <row r="54" spans="1:14" x14ac:dyDescent="0.3">
      <c r="A54" s="4">
        <v>45514</v>
      </c>
      <c r="B54" s="3" t="s">
        <v>5</v>
      </c>
      <c r="C54" s="3">
        <v>100</v>
      </c>
      <c r="D54" s="3" t="s">
        <v>6</v>
      </c>
      <c r="E54" s="3" t="s">
        <v>7</v>
      </c>
      <c r="I54" s="3"/>
      <c r="J54" s="3"/>
      <c r="K54" s="3"/>
      <c r="L54" s="3"/>
      <c r="M54" s="3"/>
      <c r="N54" s="3"/>
    </row>
    <row r="55" spans="1:14" x14ac:dyDescent="0.3">
      <c r="A55" s="4">
        <v>45516</v>
      </c>
      <c r="B55" s="3" t="s">
        <v>20</v>
      </c>
      <c r="C55" s="3">
        <v>800</v>
      </c>
      <c r="D55" s="3" t="s">
        <v>8</v>
      </c>
      <c r="E55" s="3" t="s">
        <v>7</v>
      </c>
      <c r="I55" s="3"/>
      <c r="J55" s="3"/>
      <c r="K55" s="3"/>
      <c r="L55" s="3"/>
      <c r="M55" s="3"/>
      <c r="N55" s="3"/>
    </row>
    <row r="56" spans="1:14" x14ac:dyDescent="0.3">
      <c r="A56" s="4">
        <v>45516</v>
      </c>
      <c r="B56" s="3" t="s">
        <v>5</v>
      </c>
      <c r="C56" s="3">
        <v>60</v>
      </c>
      <c r="D56" s="3" t="s">
        <v>6</v>
      </c>
      <c r="E56" s="3" t="s">
        <v>7</v>
      </c>
      <c r="I56" s="3"/>
      <c r="J56" s="3"/>
      <c r="K56" s="3"/>
      <c r="L56" s="3"/>
      <c r="M56" s="3"/>
      <c r="N56" s="3"/>
    </row>
    <row r="57" spans="1:14" x14ac:dyDescent="0.3">
      <c r="A57" s="4">
        <v>45517</v>
      </c>
      <c r="B57" s="3" t="s">
        <v>5</v>
      </c>
      <c r="C57" s="3">
        <v>40</v>
      </c>
      <c r="D57" s="3" t="s">
        <v>8</v>
      </c>
      <c r="E57" s="3" t="s">
        <v>7</v>
      </c>
      <c r="I57" s="3"/>
      <c r="J57" s="3"/>
      <c r="K57" s="3"/>
      <c r="L57" s="3"/>
      <c r="M57" s="3"/>
      <c r="N57" s="3"/>
    </row>
    <row r="58" spans="1:14" x14ac:dyDescent="0.3">
      <c r="A58" s="4">
        <v>45517</v>
      </c>
      <c r="B58" s="3" t="s">
        <v>5</v>
      </c>
      <c r="C58" s="3">
        <v>50</v>
      </c>
      <c r="D58" s="3" t="s">
        <v>8</v>
      </c>
      <c r="E58" s="3" t="s">
        <v>7</v>
      </c>
      <c r="I58" s="3"/>
      <c r="J58" s="3"/>
      <c r="K58" s="3"/>
      <c r="L58" s="3"/>
      <c r="M58" s="3"/>
      <c r="N58" s="3"/>
    </row>
    <row r="59" spans="1:14" x14ac:dyDescent="0.3">
      <c r="A59" s="4">
        <v>45519</v>
      </c>
      <c r="B59" s="3" t="s">
        <v>24</v>
      </c>
      <c r="C59" s="3">
        <v>2000</v>
      </c>
      <c r="D59" s="3" t="s">
        <v>6</v>
      </c>
      <c r="E59" s="3" t="s">
        <v>7</v>
      </c>
      <c r="I59" s="3"/>
      <c r="J59" s="3"/>
      <c r="K59" s="3"/>
      <c r="L59" s="3"/>
      <c r="M59" s="3"/>
      <c r="N59" s="3"/>
    </row>
    <row r="60" spans="1:14" x14ac:dyDescent="0.3">
      <c r="A60" s="4">
        <v>45520</v>
      </c>
      <c r="B60" s="3" t="s">
        <v>14</v>
      </c>
      <c r="C60" s="3">
        <v>700</v>
      </c>
      <c r="D60" s="3" t="s">
        <v>6</v>
      </c>
      <c r="E60" s="3" t="s">
        <v>7</v>
      </c>
      <c r="I60" s="3"/>
      <c r="J60" s="3"/>
      <c r="K60" s="3"/>
      <c r="L60" s="3"/>
      <c r="M60" s="3"/>
      <c r="N60" s="3"/>
    </row>
    <row r="61" spans="1:14" x14ac:dyDescent="0.3">
      <c r="A61" s="4">
        <v>45520</v>
      </c>
      <c r="B61" s="3" t="s">
        <v>15</v>
      </c>
      <c r="C61" s="3">
        <v>450</v>
      </c>
      <c r="D61" s="3" t="s">
        <v>8</v>
      </c>
      <c r="E61" s="3" t="s">
        <v>7</v>
      </c>
      <c r="I61" s="3"/>
      <c r="J61" s="3"/>
      <c r="K61" s="3"/>
      <c r="L61" s="3"/>
      <c r="M61" s="3"/>
      <c r="N61" s="3"/>
    </row>
    <row r="62" spans="1:14" x14ac:dyDescent="0.3">
      <c r="A62" s="4">
        <v>45520</v>
      </c>
      <c r="B62" s="3" t="s">
        <v>13</v>
      </c>
      <c r="C62" s="3">
        <v>350</v>
      </c>
      <c r="D62" s="3" t="s">
        <v>8</v>
      </c>
      <c r="E62" s="3" t="s">
        <v>7</v>
      </c>
      <c r="I62" s="3"/>
      <c r="J62" s="3"/>
      <c r="K62" s="3"/>
      <c r="L62" s="3"/>
      <c r="M62" s="3"/>
      <c r="N62" s="3"/>
    </row>
    <row r="63" spans="1:14" x14ac:dyDescent="0.3">
      <c r="A63" s="4">
        <v>45520</v>
      </c>
      <c r="B63" s="3" t="s">
        <v>18</v>
      </c>
      <c r="C63" s="3">
        <v>500</v>
      </c>
      <c r="D63" s="3" t="s">
        <v>8</v>
      </c>
      <c r="E63" s="3" t="s">
        <v>7</v>
      </c>
      <c r="I63" s="3"/>
      <c r="J63" s="3"/>
      <c r="K63" s="3"/>
      <c r="L63" s="3"/>
      <c r="M63" s="3"/>
      <c r="N63" s="3"/>
    </row>
    <row r="64" spans="1:14" x14ac:dyDescent="0.3">
      <c r="A64" s="4">
        <v>45521</v>
      </c>
      <c r="B64" s="3" t="s">
        <v>25</v>
      </c>
      <c r="C64" s="6">
        <v>600</v>
      </c>
      <c r="D64" s="3" t="s">
        <v>8</v>
      </c>
      <c r="E64" s="3" t="s">
        <v>7</v>
      </c>
      <c r="I64" s="3"/>
      <c r="J64" s="3"/>
      <c r="K64" s="3"/>
      <c r="L64" s="3"/>
      <c r="M64" s="3"/>
      <c r="N64" s="3"/>
    </row>
    <row r="65" spans="1:14" x14ac:dyDescent="0.3">
      <c r="A65" s="4">
        <v>45521</v>
      </c>
      <c r="B65" s="3" t="s">
        <v>5</v>
      </c>
      <c r="C65" s="6">
        <v>50</v>
      </c>
      <c r="D65" s="3" t="s">
        <v>8</v>
      </c>
      <c r="E65" s="3" t="s">
        <v>7</v>
      </c>
      <c r="I65" s="3"/>
      <c r="J65" s="3"/>
      <c r="K65" s="3"/>
      <c r="L65" s="3"/>
      <c r="M65" s="3"/>
      <c r="N65" s="3"/>
    </row>
    <row r="66" spans="1:14" x14ac:dyDescent="0.3">
      <c r="A66" s="4">
        <v>45521</v>
      </c>
      <c r="B66" s="3" t="s">
        <v>15</v>
      </c>
      <c r="C66" s="3">
        <v>450</v>
      </c>
      <c r="D66" s="3" t="s">
        <v>8</v>
      </c>
      <c r="E66" s="3" t="s">
        <v>7</v>
      </c>
      <c r="I66" s="3"/>
      <c r="J66" s="3"/>
      <c r="K66" s="3"/>
      <c r="L66" s="3"/>
      <c r="M66" s="3"/>
      <c r="N66" s="3"/>
    </row>
    <row r="67" spans="1:14" x14ac:dyDescent="0.3">
      <c r="A67" s="4">
        <v>45523</v>
      </c>
      <c r="B67" s="3" t="s">
        <v>26</v>
      </c>
      <c r="C67" s="3">
        <v>900</v>
      </c>
      <c r="D67" s="3" t="s">
        <v>6</v>
      </c>
      <c r="E67" s="3" t="s">
        <v>7</v>
      </c>
      <c r="I67" s="3"/>
      <c r="J67" s="3"/>
      <c r="K67" s="3"/>
      <c r="L67" s="3"/>
      <c r="M67" s="3"/>
      <c r="N67" s="3"/>
    </row>
    <row r="68" spans="1:14" x14ac:dyDescent="0.3">
      <c r="A68" s="4">
        <v>45523</v>
      </c>
      <c r="B68" s="3" t="s">
        <v>5</v>
      </c>
      <c r="C68" s="3">
        <v>70</v>
      </c>
      <c r="D68" s="3" t="s">
        <v>6</v>
      </c>
      <c r="E68" s="3" t="s">
        <v>7</v>
      </c>
      <c r="I68" s="3"/>
      <c r="J68" s="3"/>
      <c r="K68" s="3"/>
      <c r="L68" s="3"/>
      <c r="M68" s="3"/>
      <c r="N68" s="3"/>
    </row>
    <row r="69" spans="1:14" x14ac:dyDescent="0.3">
      <c r="A69" s="4">
        <v>45523</v>
      </c>
      <c r="B69" s="3" t="s">
        <v>5</v>
      </c>
      <c r="C69" s="3">
        <v>50</v>
      </c>
      <c r="D69" s="3" t="s">
        <v>8</v>
      </c>
      <c r="E69" s="3" t="s">
        <v>7</v>
      </c>
      <c r="I69" s="3"/>
      <c r="J69" s="3"/>
      <c r="K69" s="3"/>
      <c r="L69" s="3"/>
      <c r="M69" s="3"/>
      <c r="N69" s="3"/>
    </row>
    <row r="70" spans="1:14" x14ac:dyDescent="0.3">
      <c r="A70" s="4">
        <v>45524</v>
      </c>
      <c r="B70" s="3" t="s">
        <v>5</v>
      </c>
      <c r="C70" s="66">
        <v>150</v>
      </c>
      <c r="D70" s="3" t="s">
        <v>8</v>
      </c>
      <c r="E70" s="3" t="s">
        <v>7</v>
      </c>
      <c r="I70" s="3"/>
      <c r="J70" s="3"/>
      <c r="K70" s="3"/>
      <c r="L70" s="3"/>
      <c r="M70" s="3"/>
      <c r="N70" s="3"/>
    </row>
    <row r="71" spans="1:14" x14ac:dyDescent="0.3">
      <c r="A71" s="4">
        <v>45524</v>
      </c>
      <c r="B71" s="3" t="s">
        <v>5</v>
      </c>
      <c r="C71" s="66"/>
      <c r="D71" s="3" t="s">
        <v>8</v>
      </c>
      <c r="E71" s="3" t="s">
        <v>7</v>
      </c>
      <c r="I71" s="3"/>
      <c r="J71" s="3"/>
      <c r="K71" s="3"/>
      <c r="L71" s="3"/>
      <c r="M71" s="3"/>
      <c r="N71" s="3"/>
    </row>
    <row r="72" spans="1:14" x14ac:dyDescent="0.3">
      <c r="A72" s="4">
        <v>45524</v>
      </c>
      <c r="B72" s="3" t="s">
        <v>5</v>
      </c>
      <c r="C72" s="66"/>
      <c r="D72" s="3" t="s">
        <v>8</v>
      </c>
      <c r="E72" s="3" t="s">
        <v>7</v>
      </c>
      <c r="I72" s="3"/>
      <c r="J72" s="3"/>
      <c r="K72" s="3"/>
      <c r="L72" s="3"/>
      <c r="M72" s="3"/>
      <c r="N72" s="3"/>
    </row>
    <row r="73" spans="1:14" x14ac:dyDescent="0.3">
      <c r="A73" s="4">
        <v>45525</v>
      </c>
      <c r="B73" s="3" t="s">
        <v>27</v>
      </c>
      <c r="C73" s="3">
        <v>300</v>
      </c>
      <c r="D73" s="3" t="s">
        <v>8</v>
      </c>
      <c r="E73" s="3" t="s">
        <v>7</v>
      </c>
      <c r="I73" s="3"/>
      <c r="J73" s="3"/>
      <c r="K73" s="3"/>
      <c r="L73" s="3"/>
      <c r="M73" s="3"/>
      <c r="N73" s="3"/>
    </row>
    <row r="74" spans="1:14" x14ac:dyDescent="0.3">
      <c r="A74" s="4">
        <v>45525</v>
      </c>
      <c r="B74" s="3" t="s">
        <v>16</v>
      </c>
      <c r="C74" s="3">
        <v>500</v>
      </c>
      <c r="D74" s="3" t="s">
        <v>8</v>
      </c>
      <c r="E74" s="3" t="s">
        <v>7</v>
      </c>
      <c r="I74" s="3"/>
      <c r="J74" s="3"/>
      <c r="K74" s="3"/>
      <c r="L74" s="3"/>
      <c r="M74" s="3"/>
      <c r="N74" s="3"/>
    </row>
    <row r="75" spans="1:14" x14ac:dyDescent="0.3">
      <c r="A75" s="4">
        <v>45525</v>
      </c>
      <c r="B75" s="3" t="s">
        <v>5</v>
      </c>
      <c r="C75" s="6">
        <v>50</v>
      </c>
      <c r="D75" s="3" t="s">
        <v>6</v>
      </c>
      <c r="E75" s="3" t="s">
        <v>7</v>
      </c>
      <c r="I75" s="3"/>
      <c r="J75" s="3"/>
      <c r="K75" s="3"/>
      <c r="L75" s="3"/>
      <c r="M75" s="3"/>
      <c r="N75" s="3"/>
    </row>
    <row r="76" spans="1:14" x14ac:dyDescent="0.3">
      <c r="A76" s="4">
        <v>45525</v>
      </c>
      <c r="B76" s="3" t="s">
        <v>5</v>
      </c>
      <c r="C76" s="6">
        <v>50</v>
      </c>
      <c r="D76" s="3" t="s">
        <v>6</v>
      </c>
      <c r="E76" s="3" t="s">
        <v>7</v>
      </c>
      <c r="I76" s="3"/>
      <c r="J76" s="3"/>
      <c r="K76" s="3"/>
      <c r="L76" s="3"/>
      <c r="M76" s="3"/>
      <c r="N76" s="3"/>
    </row>
    <row r="77" spans="1:14" x14ac:dyDescent="0.3">
      <c r="A77" s="4">
        <v>45526</v>
      </c>
      <c r="B77" s="3" t="s">
        <v>14</v>
      </c>
      <c r="C77" s="3">
        <v>900</v>
      </c>
      <c r="D77" s="3" t="s">
        <v>8</v>
      </c>
      <c r="E77" s="3" t="s">
        <v>7</v>
      </c>
      <c r="I77" s="4"/>
      <c r="J77" s="3"/>
      <c r="K77" s="3"/>
      <c r="L77" s="3"/>
      <c r="M77" s="3"/>
      <c r="N77" s="3"/>
    </row>
    <row r="78" spans="1:14" x14ac:dyDescent="0.3">
      <c r="A78" s="4">
        <v>45526</v>
      </c>
      <c r="B78" s="3" t="s">
        <v>14</v>
      </c>
      <c r="C78" s="3">
        <v>800</v>
      </c>
      <c r="D78" s="3" t="s">
        <v>8</v>
      </c>
      <c r="E78" s="3" t="s">
        <v>7</v>
      </c>
      <c r="I78" s="4"/>
      <c r="J78" s="3"/>
      <c r="K78" s="3"/>
      <c r="L78" s="3"/>
      <c r="M78" s="3"/>
      <c r="N78" s="3"/>
    </row>
    <row r="79" spans="1:14" x14ac:dyDescent="0.3">
      <c r="A79" s="4">
        <v>45527</v>
      </c>
      <c r="B79" s="3" t="s">
        <v>5</v>
      </c>
      <c r="C79" s="3">
        <v>50</v>
      </c>
      <c r="D79" s="3" t="s">
        <v>8</v>
      </c>
      <c r="E79" s="3" t="s">
        <v>7</v>
      </c>
      <c r="I79" s="4"/>
      <c r="J79" s="3"/>
      <c r="K79" s="3"/>
      <c r="L79" s="3"/>
      <c r="M79" s="3"/>
      <c r="N79" s="3"/>
    </row>
    <row r="80" spans="1:14" x14ac:dyDescent="0.3">
      <c r="A80" s="4">
        <v>45527</v>
      </c>
      <c r="B80" s="3" t="s">
        <v>5</v>
      </c>
      <c r="C80" s="3">
        <v>80</v>
      </c>
      <c r="D80" s="3" t="s">
        <v>8</v>
      </c>
      <c r="E80" s="3" t="s">
        <v>7</v>
      </c>
      <c r="I80" s="4"/>
      <c r="J80" s="3"/>
      <c r="K80" s="3"/>
      <c r="L80" s="3"/>
      <c r="M80" s="3"/>
      <c r="N80" s="3"/>
    </row>
    <row r="81" spans="1:14" x14ac:dyDescent="0.3">
      <c r="A81" s="4">
        <v>45527</v>
      </c>
      <c r="B81" s="3" t="s">
        <v>5</v>
      </c>
      <c r="C81" s="3">
        <v>50</v>
      </c>
      <c r="D81" s="3" t="s">
        <v>8</v>
      </c>
      <c r="E81" s="3" t="s">
        <v>7</v>
      </c>
      <c r="I81" s="4"/>
      <c r="J81" s="3"/>
      <c r="K81" s="3"/>
      <c r="L81" s="3"/>
      <c r="M81" s="3"/>
      <c r="N81" s="3"/>
    </row>
    <row r="82" spans="1:14" x14ac:dyDescent="0.3">
      <c r="A82" s="4">
        <v>45527</v>
      </c>
      <c r="B82" s="3" t="s">
        <v>5</v>
      </c>
      <c r="C82" s="3">
        <v>70</v>
      </c>
      <c r="D82" s="3" t="s">
        <v>8</v>
      </c>
      <c r="E82" s="3" t="s">
        <v>7</v>
      </c>
      <c r="I82" s="4"/>
      <c r="J82" s="3"/>
      <c r="K82" s="3"/>
      <c r="L82" s="3"/>
      <c r="M82" s="3"/>
      <c r="N82" s="3"/>
    </row>
    <row r="83" spans="1:14" x14ac:dyDescent="0.3">
      <c r="A83" s="4">
        <v>45527</v>
      </c>
      <c r="B83" s="3" t="s">
        <v>28</v>
      </c>
      <c r="C83" s="3">
        <v>900</v>
      </c>
      <c r="D83" s="3" t="s">
        <v>8</v>
      </c>
      <c r="E83" s="3" t="s">
        <v>7</v>
      </c>
      <c r="I83" s="4"/>
      <c r="J83" s="3"/>
      <c r="K83" s="3"/>
      <c r="L83" s="3"/>
      <c r="M83" s="3"/>
      <c r="N83" s="3"/>
    </row>
    <row r="84" spans="1:14" x14ac:dyDescent="0.3">
      <c r="A84" s="4">
        <v>45528</v>
      </c>
      <c r="B84" s="3" t="s">
        <v>5</v>
      </c>
      <c r="C84" s="3">
        <v>50</v>
      </c>
      <c r="D84" s="3" t="s">
        <v>8</v>
      </c>
      <c r="E84" s="3" t="s">
        <v>7</v>
      </c>
      <c r="I84" s="4"/>
      <c r="J84" s="3"/>
      <c r="K84" s="3"/>
      <c r="L84" s="3"/>
      <c r="M84" s="3"/>
      <c r="N84" s="3"/>
    </row>
    <row r="85" spans="1:14" x14ac:dyDescent="0.3">
      <c r="A85" s="4">
        <v>45530</v>
      </c>
      <c r="B85" s="3" t="s">
        <v>14</v>
      </c>
      <c r="C85" s="66">
        <v>1900</v>
      </c>
      <c r="D85" s="3" t="s">
        <v>8</v>
      </c>
      <c r="E85" s="3" t="s">
        <v>7</v>
      </c>
      <c r="I85" s="4"/>
      <c r="J85" s="3"/>
      <c r="K85" s="3"/>
      <c r="L85" s="3"/>
      <c r="M85" s="3"/>
      <c r="N85" s="3"/>
    </row>
    <row r="86" spans="1:14" x14ac:dyDescent="0.3">
      <c r="A86" s="4">
        <v>45530</v>
      </c>
      <c r="B86" s="3" t="s">
        <v>14</v>
      </c>
      <c r="C86" s="66"/>
      <c r="D86" s="3" t="s">
        <v>8</v>
      </c>
      <c r="E86" s="3" t="s">
        <v>7</v>
      </c>
      <c r="I86" s="4"/>
      <c r="J86" s="3"/>
      <c r="K86" s="3"/>
      <c r="L86" s="3"/>
      <c r="M86" s="3"/>
      <c r="N86" s="3"/>
    </row>
    <row r="87" spans="1:14" x14ac:dyDescent="0.3">
      <c r="A87" s="4">
        <v>45530</v>
      </c>
      <c r="B87" s="3" t="s">
        <v>29</v>
      </c>
      <c r="C87" s="66"/>
      <c r="D87" s="3" t="s">
        <v>8</v>
      </c>
      <c r="E87" s="3" t="s">
        <v>7</v>
      </c>
      <c r="I87" s="4"/>
      <c r="J87" s="3"/>
      <c r="K87" s="3"/>
      <c r="L87" s="3"/>
      <c r="M87" s="3"/>
      <c r="N87" s="3"/>
    </row>
    <row r="88" spans="1:14" x14ac:dyDescent="0.3">
      <c r="A88" s="4">
        <v>45531</v>
      </c>
      <c r="B88" s="3" t="s">
        <v>30</v>
      </c>
      <c r="C88" s="66">
        <v>550</v>
      </c>
      <c r="D88" s="3" t="s">
        <v>8</v>
      </c>
      <c r="E88" s="3" t="s">
        <v>7</v>
      </c>
      <c r="I88" s="4"/>
      <c r="J88" s="3"/>
      <c r="K88" s="3"/>
      <c r="L88" s="3"/>
      <c r="M88" s="3"/>
      <c r="N88" s="3"/>
    </row>
    <row r="89" spans="1:14" x14ac:dyDescent="0.3">
      <c r="A89" s="4">
        <v>45531</v>
      </c>
      <c r="B89" s="3" t="s">
        <v>5</v>
      </c>
      <c r="C89" s="66"/>
      <c r="D89" s="3" t="s">
        <v>8</v>
      </c>
      <c r="E89" s="3" t="s">
        <v>7</v>
      </c>
      <c r="I89" s="4"/>
      <c r="J89" s="3"/>
      <c r="K89" s="3"/>
      <c r="L89" s="3"/>
      <c r="M89" s="3"/>
      <c r="N89" s="3"/>
    </row>
    <row r="90" spans="1:14" x14ac:dyDescent="0.3">
      <c r="A90" s="4">
        <v>45532</v>
      </c>
      <c r="B90" s="3" t="s">
        <v>5</v>
      </c>
      <c r="C90" s="66">
        <v>150</v>
      </c>
      <c r="D90" s="3" t="s">
        <v>8</v>
      </c>
      <c r="E90" s="3" t="s">
        <v>7</v>
      </c>
      <c r="I90" s="4"/>
      <c r="J90" s="3"/>
      <c r="K90" s="3"/>
      <c r="L90" s="3"/>
      <c r="M90" s="3"/>
      <c r="N90" s="3"/>
    </row>
    <row r="91" spans="1:14" x14ac:dyDescent="0.3">
      <c r="A91" s="4">
        <v>45532</v>
      </c>
      <c r="B91" s="3" t="s">
        <v>5</v>
      </c>
      <c r="C91" s="66"/>
      <c r="D91" s="3" t="s">
        <v>8</v>
      </c>
      <c r="E91" s="3" t="s">
        <v>7</v>
      </c>
      <c r="I91" s="4"/>
      <c r="J91" s="3"/>
      <c r="K91" s="3"/>
      <c r="L91" s="3"/>
      <c r="M91" s="3"/>
      <c r="N91" s="3"/>
    </row>
    <row r="92" spans="1:14" x14ac:dyDescent="0.3">
      <c r="A92" s="4">
        <v>45532</v>
      </c>
      <c r="B92" s="3" t="s">
        <v>5</v>
      </c>
      <c r="C92" s="66"/>
      <c r="D92" s="3" t="s">
        <v>8</v>
      </c>
      <c r="E92" s="3" t="s">
        <v>7</v>
      </c>
      <c r="I92" s="4"/>
      <c r="J92" s="3"/>
      <c r="K92" s="3"/>
      <c r="L92" s="3"/>
      <c r="M92" s="3"/>
      <c r="N92" s="3"/>
    </row>
    <row r="93" spans="1:14" x14ac:dyDescent="0.3">
      <c r="A93" s="4">
        <v>45533</v>
      </c>
      <c r="B93" s="3" t="s">
        <v>5</v>
      </c>
      <c r="C93" s="66">
        <v>190</v>
      </c>
      <c r="D93" s="3" t="s">
        <v>8</v>
      </c>
      <c r="E93" s="3" t="s">
        <v>7</v>
      </c>
      <c r="I93" s="4"/>
      <c r="J93" s="3"/>
      <c r="K93" s="3"/>
      <c r="L93" s="3"/>
      <c r="M93" s="3"/>
      <c r="N93" s="3"/>
    </row>
    <row r="94" spans="1:14" x14ac:dyDescent="0.3">
      <c r="A94" s="4">
        <v>45533</v>
      </c>
      <c r="B94" s="3" t="s">
        <v>5</v>
      </c>
      <c r="C94" s="66"/>
      <c r="D94" s="3" t="s">
        <v>8</v>
      </c>
      <c r="E94" s="3" t="s">
        <v>7</v>
      </c>
      <c r="I94" s="4"/>
      <c r="J94" s="3"/>
      <c r="K94" s="3"/>
      <c r="L94" s="3"/>
      <c r="M94" s="3"/>
      <c r="N94" s="3"/>
    </row>
    <row r="95" spans="1:14" x14ac:dyDescent="0.3">
      <c r="A95" s="4">
        <v>45533</v>
      </c>
      <c r="B95" s="3" t="s">
        <v>5</v>
      </c>
      <c r="C95" s="66"/>
      <c r="D95" s="3" t="s">
        <v>8</v>
      </c>
      <c r="E95" s="3" t="s">
        <v>7</v>
      </c>
      <c r="I95" s="4"/>
      <c r="J95" s="3"/>
      <c r="K95" s="3"/>
      <c r="L95" s="3"/>
      <c r="M95" s="3"/>
      <c r="N95" s="3"/>
    </row>
    <row r="96" spans="1:14" x14ac:dyDescent="0.3">
      <c r="A96" s="4">
        <v>45533</v>
      </c>
      <c r="B96" s="3" t="s">
        <v>5</v>
      </c>
      <c r="C96" s="3">
        <v>70</v>
      </c>
      <c r="D96" s="3" t="s">
        <v>8</v>
      </c>
      <c r="E96" s="3" t="s">
        <v>7</v>
      </c>
      <c r="I96" s="4"/>
      <c r="J96" s="3"/>
      <c r="K96" s="3"/>
      <c r="L96" s="3"/>
      <c r="M96" s="3"/>
      <c r="N96" s="3"/>
    </row>
    <row r="97" spans="1:14" x14ac:dyDescent="0.3">
      <c r="A97" s="4">
        <v>45533</v>
      </c>
      <c r="B97" s="3" t="s">
        <v>5</v>
      </c>
      <c r="C97" s="3">
        <v>60</v>
      </c>
      <c r="D97" s="3" t="s">
        <v>8</v>
      </c>
      <c r="E97" s="3" t="s">
        <v>7</v>
      </c>
      <c r="I97" s="4"/>
      <c r="J97" s="3"/>
      <c r="K97" s="3"/>
      <c r="L97" s="3"/>
      <c r="M97" s="3"/>
      <c r="N97" s="3"/>
    </row>
    <row r="98" spans="1:14" x14ac:dyDescent="0.3">
      <c r="A98" s="4">
        <v>45534</v>
      </c>
      <c r="B98" s="3" t="s">
        <v>5</v>
      </c>
      <c r="C98" s="3">
        <v>60</v>
      </c>
      <c r="D98" s="3" t="s">
        <v>6</v>
      </c>
      <c r="E98" s="3" t="s">
        <v>7</v>
      </c>
      <c r="I98" s="4"/>
      <c r="J98" s="3"/>
      <c r="K98" s="3"/>
      <c r="L98" s="3"/>
      <c r="M98" s="3"/>
      <c r="N98" s="3"/>
    </row>
    <row r="99" spans="1:14" x14ac:dyDescent="0.3">
      <c r="A99" s="4">
        <v>45534</v>
      </c>
      <c r="B99" s="3" t="s">
        <v>5</v>
      </c>
      <c r="C99" s="3">
        <v>70</v>
      </c>
      <c r="D99" s="3" t="s">
        <v>6</v>
      </c>
      <c r="E99" s="3" t="s">
        <v>7</v>
      </c>
      <c r="I99" s="4"/>
      <c r="J99" s="3"/>
      <c r="K99" s="3"/>
      <c r="L99" s="3"/>
      <c r="M99" s="3"/>
      <c r="N99" s="3"/>
    </row>
    <row r="100" spans="1:14" x14ac:dyDescent="0.3">
      <c r="A100" s="4">
        <v>45537</v>
      </c>
      <c r="B100" s="3" t="s">
        <v>5</v>
      </c>
      <c r="C100" s="3">
        <v>70</v>
      </c>
      <c r="D100" s="3" t="s">
        <v>8</v>
      </c>
      <c r="E100" s="3" t="s">
        <v>7</v>
      </c>
      <c r="I100" s="4"/>
      <c r="J100" s="3"/>
      <c r="K100" s="3"/>
      <c r="L100" s="3"/>
      <c r="M100" s="3"/>
      <c r="N100" s="3"/>
    </row>
    <row r="101" spans="1:14" x14ac:dyDescent="0.3">
      <c r="A101" s="4">
        <v>45538</v>
      </c>
      <c r="B101" s="3" t="s">
        <v>14</v>
      </c>
      <c r="C101" s="66">
        <v>750</v>
      </c>
      <c r="D101" s="3" t="s">
        <v>8</v>
      </c>
      <c r="E101" s="3" t="s">
        <v>7</v>
      </c>
      <c r="I101" s="4"/>
      <c r="J101" s="3"/>
      <c r="K101" s="3"/>
      <c r="L101" s="3"/>
      <c r="M101" s="3"/>
      <c r="N101" s="3"/>
    </row>
    <row r="102" spans="1:14" x14ac:dyDescent="0.3">
      <c r="A102" s="4">
        <v>45538</v>
      </c>
      <c r="B102" s="3" t="s">
        <v>5</v>
      </c>
      <c r="C102" s="66"/>
      <c r="D102" s="3" t="s">
        <v>8</v>
      </c>
      <c r="E102" s="3" t="s">
        <v>7</v>
      </c>
      <c r="I102" s="4"/>
      <c r="J102" s="3"/>
      <c r="K102" s="3"/>
      <c r="L102" s="3"/>
      <c r="M102" s="3"/>
      <c r="N102" s="3"/>
    </row>
    <row r="103" spans="1:14" x14ac:dyDescent="0.3">
      <c r="A103" s="4">
        <v>45538</v>
      </c>
      <c r="B103" s="3" t="s">
        <v>31</v>
      </c>
      <c r="C103" s="3">
        <v>750</v>
      </c>
      <c r="D103" s="3" t="s">
        <v>6</v>
      </c>
      <c r="E103" s="3" t="s">
        <v>7</v>
      </c>
      <c r="I103" s="4"/>
      <c r="J103" s="3"/>
      <c r="K103" s="3"/>
      <c r="L103" s="3"/>
      <c r="M103" s="3"/>
      <c r="N103" s="3"/>
    </row>
    <row r="104" spans="1:14" x14ac:dyDescent="0.3">
      <c r="A104" s="4">
        <v>45539</v>
      </c>
      <c r="B104" s="3" t="s">
        <v>30</v>
      </c>
      <c r="C104" s="66">
        <v>200</v>
      </c>
      <c r="D104" s="3" t="s">
        <v>6</v>
      </c>
      <c r="E104" s="3" t="s">
        <v>7</v>
      </c>
      <c r="I104" s="4"/>
      <c r="J104" s="3"/>
      <c r="K104" s="3"/>
      <c r="L104" s="3"/>
      <c r="M104" s="3"/>
      <c r="N104" s="3"/>
    </row>
    <row r="105" spans="1:14" x14ac:dyDescent="0.3">
      <c r="A105" s="4">
        <v>45539</v>
      </c>
      <c r="B105" s="3" t="s">
        <v>5</v>
      </c>
      <c r="C105" s="66"/>
      <c r="D105" s="3" t="s">
        <v>6</v>
      </c>
      <c r="E105" s="3" t="s">
        <v>7</v>
      </c>
      <c r="I105" s="4"/>
      <c r="J105" s="3"/>
      <c r="K105" s="3"/>
      <c r="L105" s="3"/>
      <c r="M105" s="3"/>
      <c r="N105" s="3"/>
    </row>
    <row r="106" spans="1:14" x14ac:dyDescent="0.3">
      <c r="A106" s="4">
        <v>45539</v>
      </c>
      <c r="B106" s="3" t="s">
        <v>11</v>
      </c>
      <c r="C106" s="3">
        <v>350</v>
      </c>
      <c r="D106" s="3" t="s">
        <v>8</v>
      </c>
      <c r="E106" s="3" t="s">
        <v>7</v>
      </c>
      <c r="I106" s="4"/>
      <c r="J106" s="3"/>
      <c r="K106" s="3"/>
      <c r="L106" s="3"/>
      <c r="M106" s="3"/>
      <c r="N106" s="3"/>
    </row>
    <row r="107" spans="1:14" x14ac:dyDescent="0.3">
      <c r="A107" s="4">
        <v>45539</v>
      </c>
      <c r="B107" s="3" t="s">
        <v>11</v>
      </c>
      <c r="C107" s="3">
        <v>350</v>
      </c>
      <c r="D107" s="3" t="s">
        <v>6</v>
      </c>
      <c r="E107" s="3" t="s">
        <v>7</v>
      </c>
      <c r="I107" s="4"/>
      <c r="J107" s="3"/>
      <c r="K107" s="3"/>
      <c r="L107" s="3"/>
      <c r="M107" s="3"/>
      <c r="N107" s="3"/>
    </row>
    <row r="108" spans="1:14" x14ac:dyDescent="0.3">
      <c r="A108" s="4">
        <v>45540</v>
      </c>
      <c r="B108" s="3" t="s">
        <v>5</v>
      </c>
      <c r="C108" s="3">
        <v>50</v>
      </c>
      <c r="D108" s="3" t="s">
        <v>8</v>
      </c>
      <c r="E108" s="3" t="s">
        <v>7</v>
      </c>
      <c r="I108" s="4"/>
      <c r="J108" s="3"/>
      <c r="K108" s="3"/>
      <c r="L108" s="3"/>
      <c r="M108" s="3"/>
      <c r="N108" s="3"/>
    </row>
    <row r="109" spans="1:14" x14ac:dyDescent="0.3">
      <c r="A109" s="4">
        <v>45540</v>
      </c>
      <c r="B109" s="3" t="s">
        <v>32</v>
      </c>
      <c r="C109" s="3">
        <v>600</v>
      </c>
      <c r="D109" s="3" t="s">
        <v>8</v>
      </c>
      <c r="E109" s="3" t="s">
        <v>7</v>
      </c>
      <c r="I109" s="7"/>
      <c r="J109" s="3"/>
      <c r="K109" s="3"/>
      <c r="L109" s="3"/>
      <c r="M109" s="3"/>
      <c r="N109" s="3"/>
    </row>
    <row r="110" spans="1:14" x14ac:dyDescent="0.3">
      <c r="A110" s="4">
        <v>45540</v>
      </c>
      <c r="B110" s="3" t="s">
        <v>5</v>
      </c>
      <c r="C110" s="3">
        <v>50</v>
      </c>
      <c r="D110" s="3" t="s">
        <v>8</v>
      </c>
      <c r="E110" s="3" t="s">
        <v>7</v>
      </c>
      <c r="I110" s="7"/>
      <c r="J110" s="3"/>
      <c r="K110" s="3"/>
      <c r="L110" s="3"/>
      <c r="M110" s="3"/>
      <c r="N110" s="3"/>
    </row>
    <row r="111" spans="1:14" x14ac:dyDescent="0.3">
      <c r="A111" s="4">
        <v>45541</v>
      </c>
      <c r="B111" s="3" t="s">
        <v>12</v>
      </c>
      <c r="C111" s="66">
        <v>1200</v>
      </c>
      <c r="D111" s="3" t="s">
        <v>8</v>
      </c>
      <c r="E111" s="3" t="s">
        <v>7</v>
      </c>
      <c r="I111" s="4"/>
      <c r="J111" s="3"/>
      <c r="K111" s="3"/>
      <c r="L111" s="3"/>
      <c r="M111" s="3"/>
      <c r="N111" s="3"/>
    </row>
    <row r="112" spans="1:14" x14ac:dyDescent="0.3">
      <c r="A112" s="4">
        <v>45541</v>
      </c>
      <c r="B112" s="3" t="s">
        <v>20</v>
      </c>
      <c r="C112" s="66"/>
      <c r="D112" s="3" t="s">
        <v>8</v>
      </c>
      <c r="E112" s="3" t="s">
        <v>7</v>
      </c>
      <c r="I112" s="4"/>
      <c r="J112" s="3"/>
      <c r="K112" s="3"/>
      <c r="L112" s="3"/>
      <c r="M112" s="3"/>
      <c r="N112" s="3"/>
    </row>
    <row r="113" spans="1:14" x14ac:dyDescent="0.3">
      <c r="A113" s="4">
        <v>45541</v>
      </c>
      <c r="B113" s="3" t="s">
        <v>5</v>
      </c>
      <c r="C113" s="3">
        <v>50</v>
      </c>
      <c r="D113" s="3" t="s">
        <v>8</v>
      </c>
      <c r="E113" s="3" t="s">
        <v>7</v>
      </c>
      <c r="I113" s="4"/>
      <c r="J113" s="3"/>
      <c r="K113" s="3"/>
      <c r="L113" s="3"/>
      <c r="M113" s="3"/>
      <c r="N113" s="3"/>
    </row>
    <row r="114" spans="1:14" x14ac:dyDescent="0.3">
      <c r="A114" s="4">
        <v>45542</v>
      </c>
      <c r="B114" s="3" t="s">
        <v>20</v>
      </c>
      <c r="C114" s="3">
        <v>850</v>
      </c>
      <c r="D114" s="3" t="s">
        <v>8</v>
      </c>
      <c r="E114" s="3" t="s">
        <v>7</v>
      </c>
      <c r="I114" s="4"/>
      <c r="J114" s="3"/>
      <c r="K114" s="3"/>
      <c r="L114" s="3"/>
      <c r="M114" s="3"/>
      <c r="N114" s="3"/>
    </row>
    <row r="115" spans="1:14" x14ac:dyDescent="0.3">
      <c r="A115" s="4">
        <v>45542</v>
      </c>
      <c r="B115" s="3" t="s">
        <v>5</v>
      </c>
      <c r="C115" s="3">
        <v>50</v>
      </c>
      <c r="D115" s="3" t="s">
        <v>8</v>
      </c>
      <c r="E115" s="3" t="s">
        <v>7</v>
      </c>
      <c r="I115" s="4"/>
      <c r="J115" s="3"/>
      <c r="K115" s="3"/>
      <c r="L115" s="3"/>
      <c r="M115" s="3"/>
      <c r="N115" s="3"/>
    </row>
    <row r="116" spans="1:14" x14ac:dyDescent="0.3">
      <c r="A116" s="4">
        <v>45542</v>
      </c>
      <c r="B116" s="3" t="s">
        <v>11</v>
      </c>
      <c r="C116" s="3">
        <v>350</v>
      </c>
      <c r="D116" s="3" t="s">
        <v>8</v>
      </c>
      <c r="E116" s="3" t="s">
        <v>7</v>
      </c>
      <c r="I116" s="4"/>
      <c r="J116" s="3"/>
      <c r="K116" s="3"/>
      <c r="L116" s="3"/>
      <c r="M116" s="3"/>
      <c r="N116" s="3"/>
    </row>
    <row r="117" spans="1:14" x14ac:dyDescent="0.3">
      <c r="A117" s="4">
        <v>45542</v>
      </c>
      <c r="B117" s="3" t="s">
        <v>5</v>
      </c>
      <c r="C117" s="3">
        <v>50</v>
      </c>
      <c r="D117" s="3" t="s">
        <v>8</v>
      </c>
      <c r="E117" s="3" t="s">
        <v>7</v>
      </c>
      <c r="I117" s="4"/>
      <c r="J117" s="3"/>
      <c r="K117" s="3"/>
      <c r="L117" s="3"/>
      <c r="M117" s="3"/>
      <c r="N117" s="3"/>
    </row>
    <row r="118" spans="1:14" x14ac:dyDescent="0.3">
      <c r="A118" s="4">
        <v>45542</v>
      </c>
      <c r="B118" s="3" t="s">
        <v>18</v>
      </c>
      <c r="C118" s="3">
        <v>700</v>
      </c>
      <c r="D118" s="3" t="s">
        <v>8</v>
      </c>
      <c r="E118" s="3" t="s">
        <v>7</v>
      </c>
      <c r="I118" s="4"/>
      <c r="J118" s="3"/>
      <c r="K118" s="3"/>
      <c r="L118" s="3"/>
      <c r="M118" s="3"/>
      <c r="N118" s="3"/>
    </row>
    <row r="119" spans="1:14" x14ac:dyDescent="0.3">
      <c r="A119" s="4">
        <v>45542</v>
      </c>
      <c r="B119" s="3" t="s">
        <v>18</v>
      </c>
      <c r="C119" s="3">
        <v>700</v>
      </c>
      <c r="D119" s="3" t="s">
        <v>8</v>
      </c>
      <c r="E119" s="3" t="s">
        <v>7</v>
      </c>
      <c r="I119" s="4"/>
      <c r="J119" s="3"/>
      <c r="K119" s="3"/>
      <c r="L119" s="3"/>
      <c r="M119" s="3"/>
      <c r="N119" s="3"/>
    </row>
    <row r="120" spans="1:14" x14ac:dyDescent="0.3">
      <c r="A120" s="4">
        <v>45544</v>
      </c>
      <c r="B120" s="3" t="s">
        <v>33</v>
      </c>
      <c r="C120" s="3">
        <v>850</v>
      </c>
      <c r="D120" s="3" t="s">
        <v>8</v>
      </c>
      <c r="E120" s="3" t="s">
        <v>7</v>
      </c>
      <c r="I120" s="4"/>
      <c r="J120" s="3"/>
      <c r="K120" s="3"/>
      <c r="L120" s="3"/>
      <c r="M120" s="3"/>
      <c r="N120" s="3"/>
    </row>
    <row r="121" spans="1:14" x14ac:dyDescent="0.3">
      <c r="A121" s="4">
        <v>45544</v>
      </c>
      <c r="B121" s="3" t="s">
        <v>15</v>
      </c>
      <c r="C121" s="3">
        <v>420</v>
      </c>
      <c r="D121" s="3" t="s">
        <v>8</v>
      </c>
      <c r="E121" s="3" t="s">
        <v>7</v>
      </c>
      <c r="I121" s="4"/>
      <c r="J121" s="3"/>
      <c r="K121" s="3"/>
      <c r="L121" s="3"/>
      <c r="M121" s="3"/>
      <c r="N121" s="3"/>
    </row>
    <row r="122" spans="1:14" x14ac:dyDescent="0.3">
      <c r="A122" s="4">
        <v>45544</v>
      </c>
      <c r="B122" s="3" t="s">
        <v>5</v>
      </c>
      <c r="C122" s="3">
        <v>50</v>
      </c>
      <c r="D122" s="3" t="s">
        <v>8</v>
      </c>
      <c r="E122" s="3" t="s">
        <v>7</v>
      </c>
      <c r="I122" s="4"/>
      <c r="J122" s="3"/>
      <c r="K122" s="3"/>
      <c r="L122" s="3"/>
      <c r="M122" s="3"/>
      <c r="N122" s="3"/>
    </row>
    <row r="123" spans="1:14" x14ac:dyDescent="0.3">
      <c r="A123" s="4">
        <v>45546</v>
      </c>
      <c r="B123" s="3" t="s">
        <v>34</v>
      </c>
      <c r="C123" s="3">
        <v>700</v>
      </c>
      <c r="D123" s="3" t="s">
        <v>8</v>
      </c>
      <c r="E123" s="3" t="s">
        <v>7</v>
      </c>
      <c r="I123" s="4"/>
      <c r="J123" s="3"/>
      <c r="K123" s="3"/>
      <c r="L123" s="3"/>
      <c r="M123" s="3"/>
      <c r="N123" s="3"/>
    </row>
    <row r="124" spans="1:14" x14ac:dyDescent="0.3">
      <c r="A124" s="4">
        <v>45546</v>
      </c>
      <c r="B124" s="3" t="s">
        <v>34</v>
      </c>
      <c r="C124" s="3">
        <v>700</v>
      </c>
      <c r="D124" s="3" t="s">
        <v>8</v>
      </c>
      <c r="E124" s="3" t="s">
        <v>7</v>
      </c>
      <c r="I124" s="4"/>
      <c r="J124" s="3"/>
      <c r="K124" s="3"/>
      <c r="L124" s="3"/>
      <c r="M124" s="3"/>
      <c r="N124" s="3"/>
    </row>
    <row r="125" spans="1:14" x14ac:dyDescent="0.3">
      <c r="A125" s="4">
        <v>45546</v>
      </c>
      <c r="B125" s="3" t="s">
        <v>5</v>
      </c>
      <c r="C125" s="3">
        <v>50</v>
      </c>
      <c r="D125" s="3" t="s">
        <v>8</v>
      </c>
      <c r="E125" s="3" t="s">
        <v>7</v>
      </c>
      <c r="I125" s="4"/>
      <c r="J125" s="3"/>
      <c r="K125" s="3"/>
      <c r="L125" s="3"/>
      <c r="M125" s="3"/>
      <c r="N125" s="3"/>
    </row>
    <row r="126" spans="1:14" x14ac:dyDescent="0.3">
      <c r="A126" s="4">
        <v>45546</v>
      </c>
      <c r="B126" s="3" t="s">
        <v>5</v>
      </c>
      <c r="C126" s="3">
        <v>50</v>
      </c>
      <c r="D126" s="3" t="s">
        <v>8</v>
      </c>
      <c r="E126" s="3" t="s">
        <v>7</v>
      </c>
      <c r="I126" s="4"/>
      <c r="J126" s="3"/>
      <c r="K126" s="3"/>
      <c r="L126" s="3"/>
      <c r="M126" s="3"/>
      <c r="N126" s="3"/>
    </row>
    <row r="127" spans="1:14" x14ac:dyDescent="0.3">
      <c r="A127" s="4">
        <v>45546</v>
      </c>
      <c r="B127" s="3" t="s">
        <v>5</v>
      </c>
      <c r="C127" s="3">
        <v>60</v>
      </c>
      <c r="D127" s="3" t="s">
        <v>8</v>
      </c>
      <c r="E127" s="3" t="s">
        <v>7</v>
      </c>
      <c r="I127" s="4"/>
      <c r="J127" s="3"/>
      <c r="K127" s="3"/>
      <c r="L127" s="3"/>
      <c r="M127" s="3"/>
      <c r="N127" s="3"/>
    </row>
    <row r="128" spans="1:14" x14ac:dyDescent="0.3">
      <c r="A128" s="4">
        <v>45548</v>
      </c>
      <c r="B128" s="3" t="s">
        <v>35</v>
      </c>
      <c r="C128" s="66">
        <v>1500</v>
      </c>
      <c r="D128" s="3" t="s">
        <v>8</v>
      </c>
      <c r="E128" s="3" t="s">
        <v>7</v>
      </c>
      <c r="I128" s="4"/>
      <c r="J128" s="3"/>
      <c r="K128" s="3"/>
      <c r="L128" s="3"/>
      <c r="M128" s="3"/>
      <c r="N128" s="3"/>
    </row>
    <row r="129" spans="1:14" x14ac:dyDescent="0.3">
      <c r="A129" s="4">
        <v>45548</v>
      </c>
      <c r="B129" s="3" t="s">
        <v>12</v>
      </c>
      <c r="C129" s="66"/>
      <c r="D129" s="3" t="s">
        <v>8</v>
      </c>
      <c r="E129" s="3" t="s">
        <v>7</v>
      </c>
      <c r="I129" s="4"/>
      <c r="J129" s="3"/>
      <c r="K129" s="3"/>
      <c r="L129" s="3"/>
      <c r="M129" s="3"/>
      <c r="N129" s="3"/>
    </row>
    <row r="130" spans="1:14" x14ac:dyDescent="0.3">
      <c r="A130" s="4">
        <v>45548</v>
      </c>
      <c r="B130" s="3" t="s">
        <v>5</v>
      </c>
      <c r="C130" s="3">
        <v>50</v>
      </c>
      <c r="D130" s="3" t="s">
        <v>8</v>
      </c>
      <c r="E130" s="3" t="s">
        <v>7</v>
      </c>
      <c r="I130" s="4"/>
      <c r="J130" s="3"/>
      <c r="K130" s="3"/>
      <c r="L130" s="3"/>
      <c r="M130" s="3"/>
      <c r="N130" s="3"/>
    </row>
    <row r="131" spans="1:14" x14ac:dyDescent="0.3">
      <c r="A131" s="4">
        <v>45553</v>
      </c>
      <c r="B131" s="3" t="s">
        <v>36</v>
      </c>
      <c r="C131" s="3">
        <v>150</v>
      </c>
      <c r="D131" s="3" t="s">
        <v>6</v>
      </c>
      <c r="E131" s="3" t="s">
        <v>7</v>
      </c>
      <c r="I131" s="4"/>
      <c r="J131" s="3"/>
      <c r="K131" s="3"/>
      <c r="L131" s="3"/>
      <c r="M131" s="3"/>
      <c r="N131" s="3"/>
    </row>
    <row r="132" spans="1:14" x14ac:dyDescent="0.3">
      <c r="A132" s="4">
        <v>45552</v>
      </c>
      <c r="B132" s="3" t="s">
        <v>5</v>
      </c>
      <c r="C132" s="3">
        <v>50</v>
      </c>
      <c r="D132" s="3" t="s">
        <v>6</v>
      </c>
      <c r="E132" s="3" t="s">
        <v>7</v>
      </c>
      <c r="I132" s="4"/>
      <c r="J132" s="3"/>
      <c r="K132" s="3"/>
      <c r="L132" s="3"/>
      <c r="M132" s="3"/>
      <c r="N132" s="3"/>
    </row>
    <row r="133" spans="1:14" x14ac:dyDescent="0.3">
      <c r="A133" s="4">
        <v>45553</v>
      </c>
      <c r="B133" s="3" t="s">
        <v>37</v>
      </c>
      <c r="C133" s="3">
        <v>120</v>
      </c>
      <c r="D133" s="3" t="s">
        <v>8</v>
      </c>
      <c r="E133" s="3" t="s">
        <v>7</v>
      </c>
      <c r="I133" s="4"/>
      <c r="J133" s="3"/>
      <c r="K133" s="3"/>
      <c r="L133" s="3"/>
      <c r="M133" s="3"/>
      <c r="N133" s="3"/>
    </row>
    <row r="134" spans="1:14" x14ac:dyDescent="0.3">
      <c r="A134" s="4">
        <v>45553</v>
      </c>
      <c r="B134" s="3" t="s">
        <v>38</v>
      </c>
      <c r="C134" s="3">
        <v>800</v>
      </c>
      <c r="D134" s="3" t="s">
        <v>8</v>
      </c>
      <c r="E134" s="3" t="s">
        <v>7</v>
      </c>
      <c r="I134" s="4"/>
      <c r="J134" s="3"/>
      <c r="K134" s="3"/>
      <c r="L134" s="3"/>
      <c r="M134" s="3"/>
      <c r="N134" s="3"/>
    </row>
    <row r="135" spans="1:14" ht="15.6" customHeight="1" x14ac:dyDescent="0.3">
      <c r="A135" s="4">
        <v>45920</v>
      </c>
      <c r="B135" s="3" t="s">
        <v>19</v>
      </c>
      <c r="C135" s="3">
        <v>300</v>
      </c>
      <c r="D135" s="3" t="s">
        <v>6</v>
      </c>
      <c r="E135" s="3" t="s">
        <v>7</v>
      </c>
      <c r="I135" s="4"/>
      <c r="J135" s="3"/>
      <c r="K135" s="3"/>
      <c r="L135" s="3"/>
      <c r="M135" s="3"/>
      <c r="N135" s="3"/>
    </row>
    <row r="136" spans="1:14" ht="15.6" customHeight="1" x14ac:dyDescent="0.3">
      <c r="A136" s="4">
        <v>45921</v>
      </c>
      <c r="B136" s="3" t="s">
        <v>5</v>
      </c>
      <c r="C136" s="3">
        <v>50</v>
      </c>
      <c r="D136" s="3" t="s">
        <v>8</v>
      </c>
      <c r="E136" s="3" t="s">
        <v>7</v>
      </c>
      <c r="I136" s="4"/>
      <c r="J136" s="3"/>
      <c r="K136" s="3"/>
      <c r="L136" s="3"/>
      <c r="M136" s="3"/>
      <c r="N136" s="3"/>
    </row>
    <row r="137" spans="1:14" ht="15.6" customHeight="1" x14ac:dyDescent="0.3">
      <c r="A137" s="4">
        <v>45921</v>
      </c>
      <c r="B137" s="3" t="s">
        <v>14</v>
      </c>
      <c r="C137" s="3">
        <v>700</v>
      </c>
      <c r="D137" s="3" t="s">
        <v>8</v>
      </c>
      <c r="E137" s="3" t="s">
        <v>7</v>
      </c>
      <c r="I137" s="4"/>
      <c r="J137" s="3"/>
      <c r="K137" s="3"/>
      <c r="L137" s="3"/>
      <c r="M137" s="3"/>
      <c r="N137" s="3"/>
    </row>
    <row r="138" spans="1:14" ht="15.6" customHeight="1" x14ac:dyDescent="0.3">
      <c r="A138" s="4">
        <v>45921</v>
      </c>
      <c r="B138" s="3" t="s">
        <v>36</v>
      </c>
      <c r="C138" s="3">
        <v>100</v>
      </c>
      <c r="D138" s="3" t="s">
        <v>8</v>
      </c>
      <c r="E138" s="3" t="s">
        <v>7</v>
      </c>
      <c r="I138" s="4"/>
      <c r="J138" s="3"/>
      <c r="K138" s="3"/>
      <c r="L138" s="3"/>
      <c r="M138" s="3"/>
      <c r="N138" s="3"/>
    </row>
    <row r="139" spans="1:14" ht="15.6" customHeight="1" x14ac:dyDescent="0.3">
      <c r="A139" s="4">
        <v>45921</v>
      </c>
      <c r="B139" s="3" t="s">
        <v>36</v>
      </c>
      <c r="C139" s="3">
        <v>100</v>
      </c>
      <c r="D139" s="3" t="s">
        <v>8</v>
      </c>
      <c r="E139" s="3" t="s">
        <v>7</v>
      </c>
      <c r="I139" s="4"/>
      <c r="J139" s="3"/>
      <c r="K139" s="3"/>
      <c r="L139" s="3"/>
      <c r="M139" s="3"/>
      <c r="N139" s="3"/>
    </row>
    <row r="140" spans="1:14" ht="15.6" customHeight="1" x14ac:dyDescent="0.3">
      <c r="A140" s="4">
        <v>45921</v>
      </c>
      <c r="B140" s="3" t="s">
        <v>14</v>
      </c>
      <c r="C140" s="3">
        <v>800</v>
      </c>
      <c r="D140" s="3" t="s">
        <v>8</v>
      </c>
      <c r="E140" s="3" t="s">
        <v>7</v>
      </c>
      <c r="I140" s="4"/>
      <c r="J140" s="3"/>
      <c r="K140" s="3"/>
      <c r="L140" s="3"/>
      <c r="M140" s="3"/>
      <c r="N140" s="3"/>
    </row>
    <row r="141" spans="1:14" ht="15.6" customHeight="1" x14ac:dyDescent="0.3">
      <c r="A141" s="4">
        <v>45925</v>
      </c>
      <c r="B141" s="3" t="s">
        <v>5</v>
      </c>
      <c r="C141" s="3">
        <v>50</v>
      </c>
      <c r="D141" s="3" t="s">
        <v>6</v>
      </c>
      <c r="E141" s="3" t="s">
        <v>7</v>
      </c>
      <c r="I141" s="4"/>
      <c r="J141" s="3"/>
      <c r="K141" s="3"/>
      <c r="L141" s="3"/>
      <c r="M141" s="3"/>
      <c r="N141" s="3"/>
    </row>
    <row r="142" spans="1:14" ht="15.6" customHeight="1" x14ac:dyDescent="0.3">
      <c r="A142" s="4">
        <v>45926</v>
      </c>
      <c r="B142" s="3" t="s">
        <v>39</v>
      </c>
      <c r="C142" s="3">
        <v>870</v>
      </c>
      <c r="D142" s="3" t="s">
        <v>6</v>
      </c>
      <c r="E142" s="3" t="s">
        <v>7</v>
      </c>
      <c r="I142" s="4"/>
      <c r="J142" s="3"/>
      <c r="K142" s="3"/>
      <c r="L142" s="3"/>
      <c r="M142" s="3"/>
      <c r="N142" s="3"/>
    </row>
    <row r="143" spans="1:14" ht="15.6" customHeight="1" x14ac:dyDescent="0.3">
      <c r="A143" s="4">
        <v>45926</v>
      </c>
      <c r="B143" s="3" t="s">
        <v>5</v>
      </c>
      <c r="C143" s="3">
        <v>80</v>
      </c>
      <c r="D143" s="3" t="s">
        <v>8</v>
      </c>
      <c r="E143" s="3" t="s">
        <v>7</v>
      </c>
      <c r="I143" s="4"/>
      <c r="J143" s="3"/>
      <c r="K143" s="3"/>
      <c r="L143" s="3"/>
      <c r="M143" s="3"/>
      <c r="N143" s="3"/>
    </row>
    <row r="144" spans="1:14" ht="15.6" customHeight="1" x14ac:dyDescent="0.3">
      <c r="A144" s="4">
        <v>45926</v>
      </c>
      <c r="B144" s="3" t="s">
        <v>36</v>
      </c>
      <c r="C144" s="3">
        <v>100</v>
      </c>
      <c r="D144" s="3" t="s">
        <v>8</v>
      </c>
      <c r="E144" s="3" t="s">
        <v>7</v>
      </c>
      <c r="I144" s="4"/>
      <c r="J144" s="3"/>
      <c r="K144" s="3"/>
      <c r="L144" s="3"/>
      <c r="M144" s="3"/>
      <c r="N144" s="3"/>
    </row>
    <row r="145" spans="1:14" ht="15.6" customHeight="1" x14ac:dyDescent="0.3">
      <c r="A145" s="4">
        <v>45927</v>
      </c>
      <c r="B145" s="3" t="s">
        <v>18</v>
      </c>
      <c r="C145" s="3">
        <v>350</v>
      </c>
      <c r="D145" s="3" t="s">
        <v>8</v>
      </c>
      <c r="E145" s="3" t="s">
        <v>7</v>
      </c>
      <c r="I145" s="4"/>
      <c r="J145" s="3"/>
      <c r="K145" s="3"/>
      <c r="L145" s="3"/>
      <c r="M145" s="3"/>
      <c r="N145" s="3"/>
    </row>
    <row r="146" spans="1:14" ht="15.6" customHeight="1" x14ac:dyDescent="0.3">
      <c r="A146" s="4">
        <v>45930</v>
      </c>
      <c r="B146" s="3" t="s">
        <v>5</v>
      </c>
      <c r="C146" s="66">
        <v>250</v>
      </c>
      <c r="D146" s="3" t="s">
        <v>8</v>
      </c>
      <c r="E146" s="3" t="s">
        <v>7</v>
      </c>
      <c r="I146" s="4"/>
      <c r="J146" s="3"/>
      <c r="K146" s="3"/>
      <c r="L146" s="3"/>
      <c r="M146" s="3"/>
      <c r="N146" s="3"/>
    </row>
    <row r="147" spans="1:14" ht="15.6" customHeight="1" x14ac:dyDescent="0.3">
      <c r="A147" s="4">
        <v>45930</v>
      </c>
      <c r="B147" s="3" t="s">
        <v>22</v>
      </c>
      <c r="C147" s="66"/>
      <c r="D147" s="3" t="s">
        <v>6</v>
      </c>
      <c r="E147" s="3" t="s">
        <v>7</v>
      </c>
      <c r="I147" s="4"/>
      <c r="J147" s="3"/>
      <c r="K147" s="3"/>
      <c r="L147" s="3"/>
      <c r="M147" s="3"/>
      <c r="N147" s="3"/>
    </row>
    <row r="148" spans="1:14" x14ac:dyDescent="0.3">
      <c r="A148" s="4">
        <v>45566</v>
      </c>
      <c r="B148" s="3" t="s">
        <v>18</v>
      </c>
      <c r="C148" s="3">
        <v>400</v>
      </c>
      <c r="D148" s="3" t="s">
        <v>8</v>
      </c>
      <c r="E148" s="3" t="s">
        <v>7</v>
      </c>
      <c r="I148" s="4"/>
      <c r="J148" s="3"/>
      <c r="K148" s="3"/>
      <c r="L148" s="3"/>
      <c r="M148" s="3"/>
      <c r="N148" s="3"/>
    </row>
    <row r="149" spans="1:14" x14ac:dyDescent="0.3">
      <c r="A149" s="4">
        <v>45566</v>
      </c>
      <c r="B149" s="3" t="s">
        <v>5</v>
      </c>
      <c r="C149" s="3">
        <v>150</v>
      </c>
      <c r="D149" s="3" t="s">
        <v>8</v>
      </c>
      <c r="E149" s="3" t="s">
        <v>7</v>
      </c>
      <c r="I149" s="4"/>
      <c r="J149" s="3"/>
      <c r="K149" s="3"/>
      <c r="L149" s="3"/>
      <c r="M149" s="3"/>
      <c r="N149" s="3"/>
    </row>
    <row r="150" spans="1:14" x14ac:dyDescent="0.3">
      <c r="A150" s="4">
        <v>45566</v>
      </c>
      <c r="B150" s="3" t="s">
        <v>15</v>
      </c>
      <c r="C150" s="3">
        <v>500</v>
      </c>
      <c r="D150" s="3" t="s">
        <v>8</v>
      </c>
      <c r="E150" s="3" t="s">
        <v>7</v>
      </c>
      <c r="I150" s="4"/>
      <c r="J150" s="3"/>
      <c r="K150" s="3"/>
      <c r="L150" s="3"/>
      <c r="M150" s="3"/>
      <c r="N150" s="3"/>
    </row>
    <row r="151" spans="1:14" x14ac:dyDescent="0.3">
      <c r="A151" s="4">
        <v>45567</v>
      </c>
      <c r="B151" s="3" t="s">
        <v>5</v>
      </c>
      <c r="C151" s="3">
        <v>50</v>
      </c>
      <c r="D151" s="3" t="s">
        <v>8</v>
      </c>
      <c r="E151" s="3" t="s">
        <v>7</v>
      </c>
      <c r="I151" s="4"/>
      <c r="J151" s="3"/>
      <c r="K151" s="3"/>
      <c r="L151" s="3"/>
      <c r="M151" s="3"/>
      <c r="N151" s="3"/>
    </row>
    <row r="152" spans="1:14" x14ac:dyDescent="0.3">
      <c r="A152" s="4">
        <v>45568</v>
      </c>
      <c r="B152" s="3" t="s">
        <v>5</v>
      </c>
      <c r="C152" s="3">
        <v>200</v>
      </c>
      <c r="D152" s="3" t="s">
        <v>8</v>
      </c>
      <c r="E152" s="3" t="s">
        <v>7</v>
      </c>
      <c r="I152" s="4"/>
      <c r="J152" s="3"/>
      <c r="K152" s="3"/>
      <c r="L152" s="3"/>
      <c r="M152" s="3"/>
      <c r="N152" s="3"/>
    </row>
    <row r="153" spans="1:14" x14ac:dyDescent="0.3">
      <c r="A153" s="4">
        <v>45569</v>
      </c>
      <c r="B153" s="3" t="s">
        <v>5</v>
      </c>
      <c r="C153" s="3">
        <v>100</v>
      </c>
      <c r="D153" s="3" t="s">
        <v>6</v>
      </c>
      <c r="E153" s="3" t="s">
        <v>7</v>
      </c>
      <c r="I153" s="4"/>
      <c r="J153" s="3"/>
      <c r="K153" s="3"/>
      <c r="L153" s="3"/>
      <c r="M153" s="3"/>
      <c r="N153" s="3"/>
    </row>
    <row r="154" spans="1:14" x14ac:dyDescent="0.3">
      <c r="A154" s="4">
        <v>45569</v>
      </c>
      <c r="B154" s="3" t="s">
        <v>14</v>
      </c>
      <c r="C154" s="3">
        <v>750</v>
      </c>
      <c r="D154" s="3" t="s">
        <v>6</v>
      </c>
      <c r="E154" s="3" t="s">
        <v>7</v>
      </c>
      <c r="I154" s="4"/>
      <c r="J154" s="3"/>
      <c r="K154" s="3"/>
      <c r="L154" s="3"/>
      <c r="M154" s="3"/>
      <c r="N154" s="3"/>
    </row>
    <row r="155" spans="1:14" x14ac:dyDescent="0.3">
      <c r="A155" s="4">
        <v>45569</v>
      </c>
      <c r="B155" s="3" t="s">
        <v>5</v>
      </c>
      <c r="C155" s="3">
        <v>50</v>
      </c>
      <c r="D155" s="3" t="s">
        <v>8</v>
      </c>
      <c r="E155" s="3" t="s">
        <v>7</v>
      </c>
      <c r="I155" s="4"/>
      <c r="J155" s="3"/>
      <c r="K155" s="3"/>
      <c r="L155" s="3"/>
      <c r="M155" s="3"/>
      <c r="N155" s="3"/>
    </row>
    <row r="156" spans="1:14" x14ac:dyDescent="0.3">
      <c r="A156" s="4">
        <v>45570</v>
      </c>
      <c r="B156" s="3" t="s">
        <v>5</v>
      </c>
      <c r="C156" s="3">
        <v>50</v>
      </c>
      <c r="D156" s="3" t="s">
        <v>8</v>
      </c>
      <c r="E156" s="3" t="s">
        <v>7</v>
      </c>
      <c r="I156" s="4"/>
      <c r="J156" s="3"/>
      <c r="K156" s="3"/>
      <c r="L156" s="3"/>
      <c r="M156" s="3"/>
      <c r="N156" s="3"/>
    </row>
    <row r="157" spans="1:14" x14ac:dyDescent="0.3">
      <c r="A157" s="4">
        <v>45570</v>
      </c>
      <c r="B157" s="3" t="s">
        <v>5</v>
      </c>
      <c r="C157" s="3">
        <v>120</v>
      </c>
      <c r="D157" s="3" t="s">
        <v>8</v>
      </c>
      <c r="E157" s="3" t="s">
        <v>7</v>
      </c>
      <c r="I157" s="4"/>
      <c r="J157" s="3"/>
      <c r="K157" s="3"/>
      <c r="L157" s="3"/>
      <c r="M157" s="3"/>
      <c r="N157" s="3"/>
    </row>
    <row r="158" spans="1:14" x14ac:dyDescent="0.3">
      <c r="A158" s="4">
        <v>45572</v>
      </c>
      <c r="B158" s="3" t="s">
        <v>36</v>
      </c>
      <c r="C158" s="3">
        <v>270</v>
      </c>
      <c r="D158" s="3" t="s">
        <v>8</v>
      </c>
      <c r="E158" s="3" t="s">
        <v>7</v>
      </c>
      <c r="I158" s="4"/>
      <c r="J158" s="3"/>
      <c r="K158" s="3"/>
      <c r="L158" s="3"/>
      <c r="M158" s="3"/>
      <c r="N158" s="3"/>
    </row>
    <row r="159" spans="1:14" x14ac:dyDescent="0.3">
      <c r="A159" s="4">
        <v>45572</v>
      </c>
      <c r="B159" s="3" t="s">
        <v>11</v>
      </c>
      <c r="C159" s="3">
        <v>700</v>
      </c>
      <c r="D159" s="3" t="s">
        <v>8</v>
      </c>
      <c r="E159" s="3" t="s">
        <v>7</v>
      </c>
      <c r="I159" s="4"/>
      <c r="J159" s="3"/>
      <c r="K159" s="3"/>
      <c r="L159" s="3"/>
      <c r="M159" s="3"/>
      <c r="N159" s="3"/>
    </row>
    <row r="160" spans="1:14" x14ac:dyDescent="0.3">
      <c r="A160" s="4">
        <v>45573</v>
      </c>
      <c r="B160" s="3" t="s">
        <v>5</v>
      </c>
      <c r="C160" s="3">
        <v>50</v>
      </c>
      <c r="D160" s="3" t="s">
        <v>8</v>
      </c>
      <c r="E160" s="3" t="s">
        <v>7</v>
      </c>
      <c r="I160" s="4"/>
      <c r="J160" s="3"/>
      <c r="K160" s="3"/>
      <c r="L160" s="3"/>
      <c r="M160" s="3"/>
      <c r="N160" s="3"/>
    </row>
    <row r="161" spans="1:14" x14ac:dyDescent="0.3">
      <c r="A161" s="4">
        <v>45574</v>
      </c>
      <c r="B161" s="3" t="s">
        <v>29</v>
      </c>
      <c r="C161" s="66">
        <v>700</v>
      </c>
      <c r="D161" s="3" t="s">
        <v>8</v>
      </c>
      <c r="E161" s="3" t="s">
        <v>7</v>
      </c>
      <c r="I161" s="4"/>
      <c r="J161" s="3"/>
      <c r="K161" s="3"/>
      <c r="L161" s="3"/>
      <c r="M161" s="3"/>
      <c r="N161" s="3"/>
    </row>
    <row r="162" spans="1:14" x14ac:dyDescent="0.3">
      <c r="A162" s="4">
        <v>45574</v>
      </c>
      <c r="B162" s="3" t="s">
        <v>5</v>
      </c>
      <c r="C162" s="66"/>
      <c r="D162" s="3" t="s">
        <v>8</v>
      </c>
      <c r="E162" s="3" t="s">
        <v>7</v>
      </c>
      <c r="I162" s="4"/>
      <c r="J162" s="3"/>
      <c r="K162" s="3"/>
      <c r="L162" s="3"/>
      <c r="M162" s="3"/>
      <c r="N162" s="3"/>
    </row>
    <row r="163" spans="1:14" x14ac:dyDescent="0.3">
      <c r="A163" s="4">
        <v>45575</v>
      </c>
      <c r="B163" s="3" t="s">
        <v>14</v>
      </c>
      <c r="C163" s="66">
        <v>850</v>
      </c>
      <c r="D163" s="3" t="s">
        <v>8</v>
      </c>
      <c r="E163" s="3" t="s">
        <v>7</v>
      </c>
      <c r="I163" s="4"/>
      <c r="J163" s="3"/>
      <c r="K163" s="3"/>
      <c r="L163" s="3"/>
      <c r="M163" s="3"/>
      <c r="N163" s="3"/>
    </row>
    <row r="164" spans="1:14" x14ac:dyDescent="0.3">
      <c r="A164" s="4">
        <v>45575</v>
      </c>
      <c r="B164" s="3" t="s">
        <v>36</v>
      </c>
      <c r="C164" s="66"/>
      <c r="D164" s="3" t="s">
        <v>8</v>
      </c>
      <c r="E164" s="3" t="s">
        <v>7</v>
      </c>
      <c r="I164" s="4"/>
      <c r="J164" s="3"/>
      <c r="K164" s="3"/>
      <c r="L164" s="3"/>
      <c r="M164" s="3"/>
      <c r="N164" s="3"/>
    </row>
    <row r="165" spans="1:14" x14ac:dyDescent="0.3">
      <c r="A165" s="4">
        <v>45576</v>
      </c>
      <c r="B165" s="3" t="s">
        <v>14</v>
      </c>
      <c r="C165" s="3">
        <v>650</v>
      </c>
      <c r="D165" s="3" t="s">
        <v>8</v>
      </c>
      <c r="E165" s="3" t="s">
        <v>7</v>
      </c>
      <c r="I165" s="4"/>
      <c r="J165" s="3"/>
      <c r="K165" s="3"/>
      <c r="L165" s="3"/>
      <c r="M165" s="3"/>
      <c r="N165" s="3"/>
    </row>
    <row r="166" spans="1:14" x14ac:dyDescent="0.3">
      <c r="A166" s="4">
        <v>45577</v>
      </c>
      <c r="B166" s="3" t="s">
        <v>30</v>
      </c>
      <c r="C166" s="3">
        <v>400</v>
      </c>
      <c r="D166" s="3" t="s">
        <v>8</v>
      </c>
      <c r="E166" s="3" t="s">
        <v>7</v>
      </c>
      <c r="I166" s="4"/>
      <c r="J166" s="3"/>
      <c r="K166" s="3"/>
      <c r="L166" s="3"/>
      <c r="M166" s="3"/>
      <c r="N166" s="3"/>
    </row>
    <row r="167" spans="1:14" x14ac:dyDescent="0.3">
      <c r="A167" s="4">
        <v>45580</v>
      </c>
      <c r="B167" s="3" t="s">
        <v>36</v>
      </c>
      <c r="C167" s="3">
        <v>100</v>
      </c>
      <c r="D167" s="3" t="s">
        <v>8</v>
      </c>
      <c r="E167" s="3" t="s">
        <v>7</v>
      </c>
      <c r="I167" s="4"/>
      <c r="J167" s="3"/>
      <c r="K167" s="3"/>
      <c r="L167" s="3"/>
      <c r="M167" s="3"/>
      <c r="N167" s="3"/>
    </row>
    <row r="168" spans="1:14" x14ac:dyDescent="0.3">
      <c r="A168" s="4">
        <v>45580</v>
      </c>
      <c r="B168" s="3" t="s">
        <v>40</v>
      </c>
      <c r="C168" s="3">
        <v>800</v>
      </c>
      <c r="D168" s="3" t="s">
        <v>8</v>
      </c>
      <c r="E168" s="3" t="s">
        <v>7</v>
      </c>
      <c r="I168" s="4"/>
      <c r="J168" s="3"/>
      <c r="K168" s="3"/>
      <c r="L168" s="3"/>
      <c r="M168" s="3"/>
      <c r="N168" s="3"/>
    </row>
    <row r="169" spans="1:14" x14ac:dyDescent="0.3">
      <c r="A169" s="4">
        <v>45580</v>
      </c>
      <c r="B169" s="3" t="s">
        <v>40</v>
      </c>
      <c r="C169" s="3">
        <v>800</v>
      </c>
      <c r="D169" s="3" t="s">
        <v>8</v>
      </c>
      <c r="E169" s="3" t="s">
        <v>7</v>
      </c>
      <c r="I169" s="4"/>
      <c r="J169" s="3"/>
      <c r="K169" s="3"/>
      <c r="L169" s="3"/>
      <c r="M169" s="3"/>
      <c r="N169" s="3"/>
    </row>
    <row r="170" spans="1:14" x14ac:dyDescent="0.3">
      <c r="A170" s="4">
        <v>45580</v>
      </c>
      <c r="B170" s="3" t="s">
        <v>40</v>
      </c>
      <c r="C170" s="3">
        <v>800</v>
      </c>
      <c r="D170" s="3" t="s">
        <v>8</v>
      </c>
      <c r="E170" s="3" t="s">
        <v>7</v>
      </c>
      <c r="I170" s="4"/>
      <c r="J170" s="3"/>
      <c r="K170" s="3"/>
      <c r="L170" s="3"/>
      <c r="M170" s="3"/>
      <c r="N170" s="3"/>
    </row>
    <row r="171" spans="1:14" x14ac:dyDescent="0.3">
      <c r="A171" s="4">
        <v>45580</v>
      </c>
      <c r="B171" s="3" t="s">
        <v>40</v>
      </c>
      <c r="C171" s="3">
        <v>800</v>
      </c>
      <c r="D171" s="3" t="s">
        <v>8</v>
      </c>
      <c r="E171" s="3" t="s">
        <v>7</v>
      </c>
      <c r="I171" s="4"/>
      <c r="J171" s="3"/>
      <c r="K171" s="3"/>
      <c r="L171" s="3"/>
      <c r="M171" s="3"/>
      <c r="N171" s="3"/>
    </row>
    <row r="172" spans="1:14" x14ac:dyDescent="0.3">
      <c r="A172" s="4">
        <v>45583</v>
      </c>
      <c r="B172" s="3" t="s">
        <v>5</v>
      </c>
      <c r="C172" s="3">
        <v>90</v>
      </c>
      <c r="D172" s="3" t="s">
        <v>8</v>
      </c>
      <c r="E172" s="3" t="s">
        <v>7</v>
      </c>
      <c r="I172" s="4"/>
      <c r="J172" s="3"/>
      <c r="K172" s="3"/>
      <c r="L172" s="3"/>
      <c r="M172" s="3"/>
      <c r="N172" s="3"/>
    </row>
    <row r="173" spans="1:14" x14ac:dyDescent="0.3">
      <c r="A173" s="4">
        <v>45584</v>
      </c>
      <c r="B173" s="3" t="s">
        <v>5</v>
      </c>
      <c r="C173" s="3">
        <v>50</v>
      </c>
      <c r="D173" s="3" t="s">
        <v>8</v>
      </c>
      <c r="E173" s="3" t="s">
        <v>7</v>
      </c>
      <c r="I173" s="4"/>
      <c r="J173" s="3"/>
      <c r="K173" s="3"/>
      <c r="L173" s="3"/>
      <c r="M173" s="3"/>
      <c r="N173" s="3"/>
    </row>
    <row r="174" spans="1:14" x14ac:dyDescent="0.3">
      <c r="A174" s="4">
        <v>45584</v>
      </c>
      <c r="B174" s="3" t="s">
        <v>41</v>
      </c>
      <c r="C174" s="3">
        <v>2000</v>
      </c>
      <c r="D174" s="3" t="s">
        <v>6</v>
      </c>
      <c r="E174" s="3" t="s">
        <v>7</v>
      </c>
      <c r="I174" s="4"/>
      <c r="J174" s="3"/>
      <c r="K174" s="3"/>
      <c r="L174" s="3"/>
      <c r="M174" s="3"/>
      <c r="N174" s="3"/>
    </row>
    <row r="175" spans="1:14" x14ac:dyDescent="0.3">
      <c r="A175" s="4">
        <v>45586</v>
      </c>
      <c r="B175" s="3" t="s">
        <v>42</v>
      </c>
      <c r="C175" s="3">
        <v>7000</v>
      </c>
      <c r="D175" s="3" t="s">
        <v>8</v>
      </c>
      <c r="E175" s="3" t="s">
        <v>7</v>
      </c>
      <c r="I175" s="4"/>
      <c r="J175" s="3"/>
      <c r="K175" s="3"/>
      <c r="L175" s="3"/>
      <c r="M175" s="3"/>
      <c r="N175" s="3"/>
    </row>
    <row r="176" spans="1:14" x14ac:dyDescent="0.3">
      <c r="A176" s="4">
        <v>45588</v>
      </c>
      <c r="B176" s="3" t="s">
        <v>11</v>
      </c>
      <c r="C176" s="3">
        <v>750</v>
      </c>
      <c r="D176" s="3" t="s">
        <v>6</v>
      </c>
      <c r="E176" s="3" t="s">
        <v>7</v>
      </c>
      <c r="I176" s="4"/>
      <c r="J176" s="3"/>
      <c r="K176" s="3"/>
      <c r="L176" s="3"/>
      <c r="M176" s="3"/>
      <c r="N176" s="3"/>
    </row>
    <row r="177" spans="1:14" x14ac:dyDescent="0.3">
      <c r="A177" s="4">
        <v>45589</v>
      </c>
      <c r="B177" s="3" t="s">
        <v>5</v>
      </c>
      <c r="C177" s="3">
        <v>50</v>
      </c>
      <c r="D177" s="3" t="s">
        <v>6</v>
      </c>
      <c r="E177" s="3" t="s">
        <v>7</v>
      </c>
      <c r="I177" s="4"/>
      <c r="J177" s="3"/>
      <c r="K177" s="3"/>
      <c r="L177" s="3"/>
      <c r="M177" s="3"/>
      <c r="N177" s="3"/>
    </row>
    <row r="178" spans="1:14" x14ac:dyDescent="0.3">
      <c r="A178" s="4">
        <v>45589</v>
      </c>
      <c r="B178" s="3" t="s">
        <v>43</v>
      </c>
      <c r="C178" s="3">
        <v>1000</v>
      </c>
      <c r="D178" s="3" t="s">
        <v>8</v>
      </c>
      <c r="E178" s="3" t="s">
        <v>7</v>
      </c>
      <c r="I178" s="4"/>
      <c r="J178" s="3"/>
      <c r="K178" s="3"/>
      <c r="L178" s="3"/>
      <c r="M178" s="3"/>
      <c r="N178" s="3"/>
    </row>
    <row r="179" spans="1:14" x14ac:dyDescent="0.3">
      <c r="A179" s="4">
        <v>45589</v>
      </c>
      <c r="B179" s="3" t="s">
        <v>5</v>
      </c>
      <c r="C179" s="3">
        <v>100</v>
      </c>
      <c r="D179" s="3" t="s">
        <v>8</v>
      </c>
      <c r="E179" s="3" t="s">
        <v>7</v>
      </c>
      <c r="I179" s="4"/>
      <c r="J179" s="3"/>
      <c r="K179" s="3"/>
      <c r="L179" s="3"/>
      <c r="M179" s="3"/>
      <c r="N179" s="3"/>
    </row>
    <row r="180" spans="1:14" x14ac:dyDescent="0.3">
      <c r="A180" s="4">
        <v>45590</v>
      </c>
      <c r="B180" s="3" t="s">
        <v>44</v>
      </c>
      <c r="C180" s="66">
        <v>370</v>
      </c>
      <c r="D180" s="3" t="s">
        <v>8</v>
      </c>
      <c r="E180" s="3" t="s">
        <v>7</v>
      </c>
      <c r="I180" s="4"/>
      <c r="J180" s="3"/>
      <c r="K180" s="3"/>
      <c r="L180" s="3"/>
      <c r="M180" s="3"/>
      <c r="N180" s="3"/>
    </row>
    <row r="181" spans="1:14" x14ac:dyDescent="0.3">
      <c r="A181" s="4">
        <v>45590</v>
      </c>
      <c r="B181" s="3" t="s">
        <v>5</v>
      </c>
      <c r="C181" s="66"/>
      <c r="D181" s="3" t="s">
        <v>6</v>
      </c>
      <c r="E181" s="3" t="s">
        <v>7</v>
      </c>
      <c r="I181" s="4"/>
      <c r="J181" s="3"/>
      <c r="K181" s="3"/>
      <c r="L181" s="3"/>
      <c r="M181" s="3"/>
      <c r="N181" s="3"/>
    </row>
    <row r="182" spans="1:14" x14ac:dyDescent="0.3">
      <c r="A182" s="4">
        <v>45591</v>
      </c>
      <c r="B182" s="3" t="s">
        <v>5</v>
      </c>
      <c r="C182" s="3">
        <v>200</v>
      </c>
      <c r="D182" s="3" t="s">
        <v>8</v>
      </c>
      <c r="E182" s="3" t="s">
        <v>7</v>
      </c>
      <c r="I182" s="4"/>
      <c r="J182" s="3"/>
      <c r="K182" s="3"/>
      <c r="L182" s="3"/>
      <c r="M182" s="3"/>
      <c r="N182" s="3"/>
    </row>
    <row r="183" spans="1:14" x14ac:dyDescent="0.3">
      <c r="A183" s="4">
        <v>45591</v>
      </c>
      <c r="B183" s="3" t="s">
        <v>5</v>
      </c>
      <c r="C183" s="3">
        <v>50</v>
      </c>
      <c r="D183" s="3" t="s">
        <v>8</v>
      </c>
      <c r="E183" s="3" t="s">
        <v>7</v>
      </c>
      <c r="I183" s="4"/>
      <c r="J183" s="3"/>
      <c r="K183" s="3"/>
      <c r="L183" s="3"/>
      <c r="M183" s="3"/>
      <c r="N183" s="3"/>
    </row>
    <row r="184" spans="1:14" x14ac:dyDescent="0.3">
      <c r="A184" s="4">
        <v>45593</v>
      </c>
      <c r="B184" s="3" t="s">
        <v>12</v>
      </c>
      <c r="C184" s="66">
        <v>700</v>
      </c>
      <c r="D184" s="3" t="s">
        <v>8</v>
      </c>
      <c r="E184" s="3" t="s">
        <v>7</v>
      </c>
      <c r="I184" s="4"/>
      <c r="J184" s="3"/>
      <c r="K184" s="3"/>
      <c r="L184" s="3"/>
      <c r="M184" s="3"/>
      <c r="N184" s="3"/>
    </row>
    <row r="185" spans="1:14" x14ac:dyDescent="0.3">
      <c r="A185" s="4">
        <v>45593</v>
      </c>
      <c r="B185" s="3" t="s">
        <v>16</v>
      </c>
      <c r="C185" s="66"/>
      <c r="D185" s="3" t="s">
        <v>8</v>
      </c>
      <c r="E185" s="3" t="s">
        <v>7</v>
      </c>
      <c r="I185" s="4"/>
      <c r="J185" s="3"/>
      <c r="K185" s="3"/>
      <c r="L185" s="3"/>
      <c r="M185" s="3"/>
      <c r="N185" s="3"/>
    </row>
    <row r="186" spans="1:14" x14ac:dyDescent="0.3">
      <c r="A186" s="4">
        <v>45594</v>
      </c>
      <c r="B186" s="3" t="s">
        <v>14</v>
      </c>
      <c r="C186" s="66">
        <v>1500</v>
      </c>
      <c r="D186" s="3" t="s">
        <v>8</v>
      </c>
      <c r="E186" s="3" t="s">
        <v>7</v>
      </c>
      <c r="I186" s="4"/>
      <c r="J186" s="3"/>
      <c r="K186" s="3"/>
      <c r="L186" s="3"/>
      <c r="M186" s="3"/>
      <c r="N186" s="3"/>
    </row>
    <row r="187" spans="1:14" x14ac:dyDescent="0.3">
      <c r="A187" s="4">
        <v>45594</v>
      </c>
      <c r="B187" s="3" t="s">
        <v>14</v>
      </c>
      <c r="C187" s="66"/>
      <c r="D187" s="3" t="s">
        <v>8</v>
      </c>
      <c r="E187" s="3" t="s">
        <v>7</v>
      </c>
      <c r="I187" s="4"/>
      <c r="J187" s="3"/>
      <c r="K187" s="3"/>
      <c r="L187" s="3"/>
      <c r="M187" s="3"/>
      <c r="N187" s="3"/>
    </row>
    <row r="188" spans="1:14" x14ac:dyDescent="0.3">
      <c r="A188" s="4">
        <v>45595</v>
      </c>
      <c r="B188" s="3" t="s">
        <v>31</v>
      </c>
      <c r="C188" s="66">
        <v>1050</v>
      </c>
      <c r="D188" s="3" t="s">
        <v>8</v>
      </c>
      <c r="E188" s="3" t="s">
        <v>7</v>
      </c>
      <c r="I188" s="4"/>
      <c r="J188" s="3"/>
      <c r="K188" s="3"/>
      <c r="L188" s="3"/>
      <c r="M188" s="3"/>
      <c r="N188" s="3"/>
    </row>
    <row r="189" spans="1:14" x14ac:dyDescent="0.3">
      <c r="A189" s="4">
        <v>45595</v>
      </c>
      <c r="B189" s="3" t="s">
        <v>5</v>
      </c>
      <c r="C189" s="66"/>
      <c r="D189" s="3" t="s">
        <v>8</v>
      </c>
      <c r="E189" s="3" t="s">
        <v>7</v>
      </c>
      <c r="I189" s="4"/>
      <c r="J189" s="3"/>
      <c r="K189" s="3"/>
      <c r="L189" s="3"/>
      <c r="M189" s="3"/>
      <c r="N189" s="3"/>
    </row>
    <row r="190" spans="1:14" x14ac:dyDescent="0.3">
      <c r="A190" s="4">
        <v>45596</v>
      </c>
      <c r="B190" s="3" t="s">
        <v>43</v>
      </c>
      <c r="C190" s="3">
        <v>1000</v>
      </c>
      <c r="D190" s="3" t="s">
        <v>6</v>
      </c>
      <c r="E190" s="3" t="s">
        <v>7</v>
      </c>
      <c r="I190" s="4"/>
      <c r="J190" s="3"/>
      <c r="K190" s="3"/>
      <c r="L190" s="3"/>
      <c r="M190" s="3"/>
      <c r="N190" s="3"/>
    </row>
    <row r="191" spans="1:14" x14ac:dyDescent="0.3">
      <c r="A191" s="4">
        <v>45596</v>
      </c>
      <c r="B191" s="3" t="s">
        <v>5</v>
      </c>
      <c r="C191" s="3">
        <v>170</v>
      </c>
      <c r="D191" s="3" t="s">
        <v>6</v>
      </c>
      <c r="E191" s="3" t="s">
        <v>7</v>
      </c>
      <c r="I191" s="4"/>
      <c r="J191" s="3"/>
      <c r="K191" s="3"/>
      <c r="L191" s="3"/>
      <c r="M191" s="3"/>
      <c r="N191" s="3"/>
    </row>
    <row r="192" spans="1:14" x14ac:dyDescent="0.3">
      <c r="A192" s="4">
        <v>45597</v>
      </c>
      <c r="B192" s="3" t="s">
        <v>45</v>
      </c>
      <c r="C192" s="3">
        <v>620</v>
      </c>
      <c r="D192" s="3" t="s">
        <v>8</v>
      </c>
      <c r="E192" s="3" t="s">
        <v>7</v>
      </c>
      <c r="I192" s="4"/>
      <c r="J192" s="3"/>
      <c r="K192" s="3"/>
      <c r="L192" s="3"/>
      <c r="M192" s="3"/>
      <c r="N192" s="3"/>
    </row>
    <row r="193" spans="1:14" x14ac:dyDescent="0.3">
      <c r="A193" s="4">
        <v>45597</v>
      </c>
      <c r="B193" s="3" t="s">
        <v>36</v>
      </c>
      <c r="C193" s="3">
        <v>100</v>
      </c>
      <c r="D193" s="3" t="s">
        <v>6</v>
      </c>
      <c r="E193" s="3" t="s">
        <v>7</v>
      </c>
      <c r="I193" s="4"/>
      <c r="J193" s="3"/>
      <c r="K193" s="3"/>
      <c r="L193" s="3"/>
      <c r="M193" s="3"/>
      <c r="N193" s="3"/>
    </row>
    <row r="194" spans="1:14" x14ac:dyDescent="0.3">
      <c r="A194" s="4">
        <v>45597</v>
      </c>
      <c r="B194" s="3" t="s">
        <v>5</v>
      </c>
      <c r="C194" s="3">
        <v>50</v>
      </c>
      <c r="D194" s="3" t="s">
        <v>6</v>
      </c>
      <c r="E194" s="3" t="s">
        <v>7</v>
      </c>
      <c r="I194" s="4"/>
      <c r="J194" s="3"/>
      <c r="K194" s="3"/>
      <c r="L194" s="3"/>
      <c r="M194" s="3"/>
      <c r="N194" s="3"/>
    </row>
    <row r="195" spans="1:14" x14ac:dyDescent="0.3">
      <c r="A195" s="4">
        <v>45598</v>
      </c>
      <c r="B195" s="3" t="s">
        <v>31</v>
      </c>
      <c r="C195" s="3">
        <v>520</v>
      </c>
      <c r="D195" s="3" t="s">
        <v>6</v>
      </c>
      <c r="E195" s="3" t="s">
        <v>7</v>
      </c>
      <c r="I195" s="4"/>
      <c r="J195" s="3"/>
      <c r="K195" s="3"/>
      <c r="L195" s="3"/>
      <c r="M195" s="3"/>
      <c r="N195" s="3"/>
    </row>
    <row r="196" spans="1:14" x14ac:dyDescent="0.3">
      <c r="A196" s="4">
        <v>45598</v>
      </c>
      <c r="B196" s="3" t="s">
        <v>14</v>
      </c>
      <c r="C196" s="3">
        <v>700</v>
      </c>
      <c r="D196" s="3" t="s">
        <v>8</v>
      </c>
      <c r="E196" s="3" t="s">
        <v>7</v>
      </c>
      <c r="I196" s="4"/>
      <c r="J196" s="3"/>
      <c r="K196" s="3"/>
      <c r="L196" s="3"/>
      <c r="M196" s="3"/>
      <c r="N196" s="3"/>
    </row>
    <row r="197" spans="1:14" x14ac:dyDescent="0.3">
      <c r="A197" s="4">
        <v>45598</v>
      </c>
      <c r="B197" s="3" t="s">
        <v>29</v>
      </c>
      <c r="C197" s="3">
        <v>400</v>
      </c>
      <c r="D197" s="3" t="s">
        <v>8</v>
      </c>
      <c r="E197" s="3" t="s">
        <v>7</v>
      </c>
      <c r="I197" s="4"/>
      <c r="J197" s="3"/>
      <c r="K197" s="3"/>
      <c r="L197" s="3"/>
      <c r="M197" s="3"/>
      <c r="N197" s="3"/>
    </row>
    <row r="198" spans="1:14" x14ac:dyDescent="0.3">
      <c r="A198" s="4">
        <v>45600</v>
      </c>
      <c r="B198" s="3" t="s">
        <v>14</v>
      </c>
      <c r="C198" s="3">
        <v>900</v>
      </c>
      <c r="D198" s="3" t="s">
        <v>8</v>
      </c>
      <c r="E198" s="3" t="s">
        <v>7</v>
      </c>
      <c r="I198" s="4"/>
      <c r="J198" s="3"/>
      <c r="K198" s="3"/>
      <c r="L198" s="3"/>
      <c r="M198" s="3"/>
      <c r="N198" s="3"/>
    </row>
    <row r="199" spans="1:14" x14ac:dyDescent="0.3">
      <c r="A199" s="4">
        <v>45600</v>
      </c>
      <c r="B199" s="3" t="s">
        <v>46</v>
      </c>
      <c r="C199" s="3">
        <v>300</v>
      </c>
      <c r="D199" s="3" t="s">
        <v>8</v>
      </c>
      <c r="E199" s="3" t="s">
        <v>7</v>
      </c>
      <c r="I199" s="4"/>
      <c r="J199" s="3"/>
      <c r="K199" s="3"/>
      <c r="L199" s="3"/>
      <c r="M199" s="3"/>
      <c r="N199" s="3"/>
    </row>
    <row r="200" spans="1:14" x14ac:dyDescent="0.3">
      <c r="A200" s="4">
        <v>45601</v>
      </c>
      <c r="B200" s="3" t="s">
        <v>5</v>
      </c>
      <c r="C200" s="3">
        <v>50</v>
      </c>
      <c r="D200" s="3" t="s">
        <v>6</v>
      </c>
      <c r="E200" s="3" t="s">
        <v>7</v>
      </c>
      <c r="I200" s="4"/>
      <c r="J200" s="3"/>
      <c r="K200" s="3"/>
      <c r="L200" s="3"/>
      <c r="M200" s="3"/>
      <c r="N200" s="3"/>
    </row>
    <row r="201" spans="1:14" x14ac:dyDescent="0.3">
      <c r="A201" s="4">
        <v>45602</v>
      </c>
      <c r="B201" s="3" t="s">
        <v>5</v>
      </c>
      <c r="C201" s="3">
        <v>100</v>
      </c>
      <c r="D201" s="3" t="s">
        <v>8</v>
      </c>
      <c r="E201" s="3" t="s">
        <v>7</v>
      </c>
      <c r="I201" s="4"/>
      <c r="J201" s="3"/>
      <c r="K201" s="3"/>
      <c r="L201" s="3"/>
      <c r="M201" s="3"/>
      <c r="N201" s="3"/>
    </row>
    <row r="202" spans="1:14" x14ac:dyDescent="0.3">
      <c r="A202" s="4">
        <v>45602</v>
      </c>
      <c r="B202" s="3" t="s">
        <v>5</v>
      </c>
      <c r="C202" s="3">
        <v>100</v>
      </c>
      <c r="D202" s="3" t="s">
        <v>8</v>
      </c>
      <c r="E202" s="3" t="s">
        <v>7</v>
      </c>
      <c r="I202" s="4"/>
      <c r="J202" s="3"/>
      <c r="K202" s="3"/>
      <c r="L202" s="3"/>
      <c r="M202" s="3"/>
      <c r="N202" s="3"/>
    </row>
    <row r="203" spans="1:14" x14ac:dyDescent="0.3">
      <c r="A203" s="4">
        <v>45604</v>
      </c>
      <c r="B203" s="3" t="s">
        <v>12</v>
      </c>
      <c r="C203" s="3">
        <v>400</v>
      </c>
      <c r="D203" s="3" t="s">
        <v>8</v>
      </c>
      <c r="E203" s="3" t="s">
        <v>7</v>
      </c>
      <c r="I203" s="4"/>
      <c r="J203" s="3"/>
      <c r="K203" s="3"/>
      <c r="L203" s="3"/>
      <c r="M203" s="3"/>
      <c r="N203" s="3"/>
    </row>
    <row r="204" spans="1:14" x14ac:dyDescent="0.3">
      <c r="A204" s="4">
        <v>45604</v>
      </c>
      <c r="B204" s="3" t="s">
        <v>47</v>
      </c>
      <c r="C204" s="3">
        <v>1000</v>
      </c>
      <c r="D204" s="3" t="s">
        <v>8</v>
      </c>
      <c r="E204" s="3" t="s">
        <v>7</v>
      </c>
      <c r="I204" s="4"/>
      <c r="J204" s="3"/>
      <c r="K204" s="3"/>
      <c r="L204" s="3"/>
      <c r="M204" s="3"/>
      <c r="N204" s="3"/>
    </row>
    <row r="205" spans="1:14" x14ac:dyDescent="0.3">
      <c r="A205" s="4">
        <v>45604</v>
      </c>
      <c r="B205" s="3" t="s">
        <v>5</v>
      </c>
      <c r="C205" s="3">
        <v>50</v>
      </c>
      <c r="D205" s="3" t="s">
        <v>8</v>
      </c>
      <c r="E205" s="3" t="s">
        <v>7</v>
      </c>
      <c r="I205" s="4"/>
      <c r="J205" s="3"/>
      <c r="K205" s="3"/>
      <c r="L205" s="3"/>
      <c r="M205" s="3"/>
      <c r="N205" s="3"/>
    </row>
    <row r="206" spans="1:14" x14ac:dyDescent="0.3">
      <c r="A206" s="4">
        <v>45605</v>
      </c>
      <c r="B206" s="3" t="s">
        <v>34</v>
      </c>
      <c r="C206" s="3">
        <v>600</v>
      </c>
      <c r="D206" s="3" t="s">
        <v>6</v>
      </c>
      <c r="E206" s="3" t="s">
        <v>7</v>
      </c>
      <c r="I206" s="4"/>
      <c r="J206" s="3"/>
      <c r="K206" s="3"/>
      <c r="L206" s="3"/>
      <c r="M206" s="3"/>
      <c r="N206" s="3"/>
    </row>
    <row r="207" spans="1:14" x14ac:dyDescent="0.3">
      <c r="A207" s="4">
        <v>45605</v>
      </c>
      <c r="B207" s="3" t="s">
        <v>44</v>
      </c>
      <c r="C207" s="3">
        <v>350</v>
      </c>
      <c r="D207" s="3" t="s">
        <v>8</v>
      </c>
      <c r="E207" s="3" t="s">
        <v>7</v>
      </c>
      <c r="I207" s="4"/>
      <c r="J207" s="3"/>
      <c r="K207" s="3"/>
      <c r="L207" s="3"/>
      <c r="M207" s="3"/>
      <c r="N207" s="3"/>
    </row>
    <row r="208" spans="1:14" x14ac:dyDescent="0.3">
      <c r="A208" s="4">
        <v>45607</v>
      </c>
      <c r="B208" s="3" t="s">
        <v>30</v>
      </c>
      <c r="C208" s="3">
        <v>350</v>
      </c>
      <c r="D208" s="3" t="s">
        <v>8</v>
      </c>
      <c r="E208" s="3" t="s">
        <v>7</v>
      </c>
      <c r="I208" s="4"/>
      <c r="J208" s="3"/>
      <c r="K208" s="3"/>
      <c r="L208" s="3"/>
      <c r="M208" s="3"/>
      <c r="N208" s="3"/>
    </row>
    <row r="209" spans="1:14" x14ac:dyDescent="0.3">
      <c r="A209" s="4">
        <v>45607</v>
      </c>
      <c r="B209" s="3" t="s">
        <v>5</v>
      </c>
      <c r="C209" s="3">
        <v>100</v>
      </c>
      <c r="D209" s="3" t="s">
        <v>6</v>
      </c>
      <c r="E209" s="3" t="s">
        <v>7</v>
      </c>
      <c r="I209" s="4"/>
      <c r="J209" s="3"/>
      <c r="K209" s="3"/>
      <c r="L209" s="3"/>
      <c r="M209" s="3"/>
      <c r="N209" s="3"/>
    </row>
    <row r="210" spans="1:14" x14ac:dyDescent="0.3">
      <c r="A210" s="4">
        <v>45608</v>
      </c>
      <c r="B210" s="3" t="s">
        <v>5</v>
      </c>
      <c r="C210" s="3">
        <v>150</v>
      </c>
      <c r="D210" s="3" t="s">
        <v>8</v>
      </c>
      <c r="E210" s="3" t="s">
        <v>7</v>
      </c>
      <c r="I210" s="4"/>
      <c r="J210" s="3"/>
      <c r="K210" s="3"/>
      <c r="L210" s="3"/>
      <c r="M210" s="3"/>
      <c r="N210" s="3"/>
    </row>
    <row r="211" spans="1:14" x14ac:dyDescent="0.3">
      <c r="A211" s="4">
        <v>45608</v>
      </c>
      <c r="B211" s="3" t="s">
        <v>5</v>
      </c>
      <c r="C211" s="3">
        <v>100</v>
      </c>
      <c r="D211" s="3" t="s">
        <v>6</v>
      </c>
      <c r="E211" s="3" t="s">
        <v>7</v>
      </c>
      <c r="I211" s="4"/>
      <c r="J211" s="3"/>
      <c r="K211" s="3"/>
      <c r="L211" s="3"/>
      <c r="M211" s="3"/>
      <c r="N211" s="3"/>
    </row>
    <row r="212" spans="1:14" x14ac:dyDescent="0.3">
      <c r="A212" s="4">
        <v>45608</v>
      </c>
      <c r="B212" s="3" t="s">
        <v>30</v>
      </c>
      <c r="C212" s="3">
        <v>500</v>
      </c>
      <c r="D212" s="3" t="s">
        <v>8</v>
      </c>
      <c r="E212" s="3" t="s">
        <v>7</v>
      </c>
      <c r="I212" s="4"/>
      <c r="J212" s="3"/>
      <c r="K212" s="3"/>
      <c r="L212" s="3"/>
      <c r="M212" s="3"/>
      <c r="N212" s="3"/>
    </row>
    <row r="213" spans="1:14" x14ac:dyDescent="0.3">
      <c r="A213" s="4">
        <v>45609</v>
      </c>
      <c r="B213" s="3" t="s">
        <v>14</v>
      </c>
      <c r="C213" s="3">
        <v>650</v>
      </c>
      <c r="D213" s="3" t="s">
        <v>8</v>
      </c>
      <c r="E213" s="3" t="s">
        <v>7</v>
      </c>
      <c r="I213" s="4"/>
      <c r="J213" s="3"/>
      <c r="K213" s="3"/>
      <c r="L213" s="3"/>
      <c r="M213" s="3"/>
      <c r="N213" s="3"/>
    </row>
    <row r="214" spans="1:14" x14ac:dyDescent="0.3">
      <c r="A214" s="4">
        <v>45610</v>
      </c>
      <c r="B214" s="3" t="s">
        <v>48</v>
      </c>
      <c r="C214" s="3">
        <v>800</v>
      </c>
      <c r="D214" s="3" t="s">
        <v>8</v>
      </c>
      <c r="E214" s="3" t="s">
        <v>7</v>
      </c>
      <c r="I214" s="4"/>
      <c r="J214" s="3"/>
      <c r="K214" s="3"/>
      <c r="L214" s="3"/>
      <c r="M214" s="3"/>
      <c r="N214" s="3"/>
    </row>
    <row r="215" spans="1:14" x14ac:dyDescent="0.3">
      <c r="A215" s="4">
        <v>45611</v>
      </c>
      <c r="B215" s="3" t="s">
        <v>14</v>
      </c>
      <c r="C215" s="3">
        <v>900</v>
      </c>
      <c r="D215" s="3" t="s">
        <v>8</v>
      </c>
      <c r="E215" s="3" t="s">
        <v>7</v>
      </c>
      <c r="I215" s="4"/>
      <c r="J215" s="3"/>
      <c r="K215" s="3"/>
      <c r="L215" s="3"/>
      <c r="M215" s="3"/>
      <c r="N215" s="3"/>
    </row>
    <row r="216" spans="1:14" x14ac:dyDescent="0.3">
      <c r="A216" s="4">
        <v>45611</v>
      </c>
      <c r="B216" s="3" t="s">
        <v>49</v>
      </c>
      <c r="C216" s="3">
        <v>250</v>
      </c>
      <c r="D216" s="3" t="s">
        <v>8</v>
      </c>
      <c r="E216" s="3" t="s">
        <v>7</v>
      </c>
      <c r="I216" s="4"/>
      <c r="J216" s="3"/>
      <c r="K216" s="3"/>
      <c r="L216" s="3"/>
      <c r="M216" s="3"/>
      <c r="N216" s="3"/>
    </row>
    <row r="217" spans="1:14" x14ac:dyDescent="0.3">
      <c r="A217" s="4">
        <v>45611</v>
      </c>
      <c r="B217" s="3" t="s">
        <v>50</v>
      </c>
      <c r="C217" s="3">
        <v>250</v>
      </c>
      <c r="D217" s="3" t="s">
        <v>8</v>
      </c>
      <c r="E217" s="3" t="s">
        <v>7</v>
      </c>
      <c r="I217" s="4"/>
      <c r="J217" s="3"/>
      <c r="K217" s="3"/>
      <c r="L217" s="3"/>
      <c r="M217" s="3"/>
      <c r="N217" s="3"/>
    </row>
    <row r="218" spans="1:14" x14ac:dyDescent="0.3">
      <c r="A218" s="4">
        <v>45612</v>
      </c>
      <c r="B218" s="3" t="s">
        <v>15</v>
      </c>
      <c r="C218" s="3">
        <v>450</v>
      </c>
      <c r="D218" s="3" t="s">
        <v>8</v>
      </c>
      <c r="E218" s="3" t="s">
        <v>7</v>
      </c>
      <c r="I218" s="4"/>
      <c r="J218" s="3"/>
      <c r="K218" s="3"/>
      <c r="L218" s="3"/>
      <c r="M218" s="3"/>
      <c r="N218" s="3"/>
    </row>
    <row r="219" spans="1:14" x14ac:dyDescent="0.3">
      <c r="A219" s="4">
        <v>45612</v>
      </c>
      <c r="B219" s="3" t="s">
        <v>15</v>
      </c>
      <c r="C219" s="3">
        <v>450</v>
      </c>
      <c r="D219" s="3" t="s">
        <v>8</v>
      </c>
      <c r="E219" s="3" t="s">
        <v>7</v>
      </c>
      <c r="I219" s="4"/>
      <c r="J219" s="3"/>
      <c r="K219" s="3"/>
      <c r="L219" s="3"/>
      <c r="M219" s="3"/>
      <c r="N219" s="3"/>
    </row>
    <row r="220" spans="1:14" x14ac:dyDescent="0.3">
      <c r="A220" s="4">
        <v>45612</v>
      </c>
      <c r="B220" s="3" t="s">
        <v>5</v>
      </c>
      <c r="C220" s="3">
        <v>50</v>
      </c>
      <c r="D220" s="3" t="s">
        <v>8</v>
      </c>
      <c r="E220" s="3" t="s">
        <v>7</v>
      </c>
      <c r="I220" s="4"/>
      <c r="J220" s="3"/>
      <c r="K220" s="3"/>
      <c r="L220" s="3"/>
      <c r="M220" s="3"/>
      <c r="N220" s="3"/>
    </row>
    <row r="221" spans="1:14" x14ac:dyDescent="0.3">
      <c r="A221" s="4">
        <v>45614</v>
      </c>
      <c r="B221" s="3" t="s">
        <v>39</v>
      </c>
      <c r="C221" s="3">
        <v>700</v>
      </c>
      <c r="D221" s="3" t="s">
        <v>8</v>
      </c>
      <c r="E221" s="3" t="s">
        <v>7</v>
      </c>
      <c r="I221" s="4"/>
      <c r="J221" s="3"/>
      <c r="K221" s="3"/>
      <c r="L221" s="3"/>
      <c r="M221" s="3"/>
      <c r="N221" s="3"/>
    </row>
    <row r="222" spans="1:14" x14ac:dyDescent="0.3">
      <c r="A222" s="4">
        <v>45614</v>
      </c>
      <c r="B222" s="3" t="s">
        <v>12</v>
      </c>
      <c r="C222" s="3">
        <v>270</v>
      </c>
      <c r="D222" s="3" t="s">
        <v>8</v>
      </c>
      <c r="E222" s="3" t="s">
        <v>7</v>
      </c>
      <c r="I222" s="4"/>
      <c r="J222" s="3"/>
      <c r="K222" s="3"/>
      <c r="L222" s="3"/>
      <c r="M222" s="3"/>
      <c r="N222" s="3"/>
    </row>
    <row r="223" spans="1:14" x14ac:dyDescent="0.3">
      <c r="A223" s="4">
        <v>45615</v>
      </c>
      <c r="B223" s="3" t="s">
        <v>5</v>
      </c>
      <c r="C223" s="3">
        <v>50</v>
      </c>
      <c r="D223" s="3" t="s">
        <v>6</v>
      </c>
      <c r="E223" s="3" t="s">
        <v>7</v>
      </c>
      <c r="I223" s="4"/>
      <c r="J223" s="3"/>
      <c r="K223" s="3"/>
      <c r="L223" s="3"/>
      <c r="M223" s="3"/>
      <c r="N223" s="3"/>
    </row>
    <row r="224" spans="1:14" x14ac:dyDescent="0.3">
      <c r="A224" s="4">
        <v>45616</v>
      </c>
      <c r="B224" s="3" t="s">
        <v>5</v>
      </c>
      <c r="C224" s="3">
        <v>70</v>
      </c>
      <c r="D224" s="3" t="s">
        <v>8</v>
      </c>
      <c r="E224" s="3" t="s">
        <v>7</v>
      </c>
      <c r="I224" s="4"/>
      <c r="J224" s="3"/>
      <c r="K224" s="3"/>
      <c r="L224" s="3"/>
      <c r="M224" s="3"/>
      <c r="N224" s="3"/>
    </row>
    <row r="225" spans="1:14" x14ac:dyDescent="0.3">
      <c r="A225" s="4">
        <v>45617</v>
      </c>
      <c r="B225" s="3" t="s">
        <v>5</v>
      </c>
      <c r="C225" s="3">
        <v>50</v>
      </c>
      <c r="D225" s="3" t="s">
        <v>6</v>
      </c>
      <c r="E225" s="3" t="s">
        <v>7</v>
      </c>
      <c r="I225" s="4"/>
      <c r="J225" s="3"/>
      <c r="K225" s="3"/>
      <c r="L225" s="3"/>
      <c r="M225" s="3"/>
      <c r="N225" s="3"/>
    </row>
    <row r="226" spans="1:14" x14ac:dyDescent="0.3">
      <c r="A226" s="4">
        <v>45618</v>
      </c>
      <c r="B226" s="3" t="s">
        <v>51</v>
      </c>
      <c r="C226" s="3">
        <v>900</v>
      </c>
      <c r="D226" s="3" t="s">
        <v>8</v>
      </c>
      <c r="E226" s="3" t="s">
        <v>7</v>
      </c>
      <c r="I226" s="4"/>
      <c r="J226" s="3"/>
      <c r="K226" s="3"/>
      <c r="L226" s="3"/>
      <c r="M226" s="3"/>
      <c r="N226" s="3"/>
    </row>
    <row r="227" spans="1:14" x14ac:dyDescent="0.3">
      <c r="A227" s="4">
        <v>45618</v>
      </c>
      <c r="B227" s="3" t="s">
        <v>5</v>
      </c>
      <c r="C227" s="3">
        <v>50</v>
      </c>
      <c r="D227" s="3" t="s">
        <v>8</v>
      </c>
      <c r="E227" s="3" t="s">
        <v>7</v>
      </c>
      <c r="I227" s="4"/>
      <c r="J227" s="3"/>
      <c r="K227" s="3"/>
      <c r="L227" s="3"/>
      <c r="M227" s="3"/>
      <c r="N227" s="3"/>
    </row>
    <row r="228" spans="1:14" x14ac:dyDescent="0.3">
      <c r="A228" s="4">
        <v>45621</v>
      </c>
      <c r="B228" s="3" t="s">
        <v>51</v>
      </c>
      <c r="C228" s="3">
        <v>900</v>
      </c>
      <c r="D228" s="3" t="s">
        <v>6</v>
      </c>
      <c r="E228" s="3" t="s">
        <v>7</v>
      </c>
      <c r="I228" s="4"/>
      <c r="J228" s="3"/>
      <c r="K228" s="3"/>
      <c r="L228" s="3"/>
      <c r="M228" s="3"/>
      <c r="N228" s="3"/>
    </row>
    <row r="229" spans="1:14" x14ac:dyDescent="0.3">
      <c r="A229" s="4">
        <v>45621</v>
      </c>
      <c r="B229" s="3" t="s">
        <v>5</v>
      </c>
      <c r="C229" s="3">
        <v>50</v>
      </c>
      <c r="D229" s="3" t="s">
        <v>8</v>
      </c>
      <c r="E229" s="3" t="s">
        <v>7</v>
      </c>
      <c r="I229" s="4"/>
      <c r="J229" s="3"/>
      <c r="K229" s="3"/>
      <c r="L229" s="3"/>
      <c r="M229" s="3"/>
      <c r="N229" s="3"/>
    </row>
    <row r="230" spans="1:14" x14ac:dyDescent="0.3">
      <c r="A230" s="4">
        <v>45623</v>
      </c>
      <c r="B230" s="3" t="s">
        <v>11</v>
      </c>
      <c r="C230" s="3">
        <v>350</v>
      </c>
      <c r="D230" s="3" t="s">
        <v>8</v>
      </c>
      <c r="E230" s="3" t="s">
        <v>7</v>
      </c>
      <c r="I230" s="4"/>
      <c r="J230" s="3"/>
      <c r="K230" s="3"/>
      <c r="L230" s="3"/>
      <c r="M230" s="3"/>
      <c r="N230" s="3"/>
    </row>
    <row r="231" spans="1:14" x14ac:dyDescent="0.3">
      <c r="A231" s="4">
        <v>45623</v>
      </c>
      <c r="B231" s="3" t="s">
        <v>11</v>
      </c>
      <c r="C231" s="3">
        <v>350</v>
      </c>
      <c r="D231" s="3" t="s">
        <v>8</v>
      </c>
      <c r="E231" s="3" t="s">
        <v>7</v>
      </c>
      <c r="I231" s="4"/>
      <c r="J231" s="3"/>
      <c r="K231" s="3"/>
      <c r="L231" s="3"/>
      <c r="M231" s="3"/>
      <c r="N231" s="3"/>
    </row>
    <row r="232" spans="1:14" x14ac:dyDescent="0.3">
      <c r="A232" s="4">
        <v>45623</v>
      </c>
      <c r="B232" s="3" t="s">
        <v>11</v>
      </c>
      <c r="C232" s="3">
        <v>350</v>
      </c>
      <c r="D232" s="3" t="s">
        <v>8</v>
      </c>
      <c r="E232" s="3" t="s">
        <v>7</v>
      </c>
      <c r="I232" s="4"/>
      <c r="J232" s="3"/>
      <c r="K232" s="3"/>
      <c r="L232" s="3"/>
      <c r="M232" s="3"/>
      <c r="N232" s="3"/>
    </row>
    <row r="233" spans="1:14" x14ac:dyDescent="0.3">
      <c r="A233" s="4">
        <v>45625</v>
      </c>
      <c r="B233" s="3" t="s">
        <v>5</v>
      </c>
      <c r="C233" s="3">
        <v>50</v>
      </c>
      <c r="D233" s="3" t="s">
        <v>8</v>
      </c>
      <c r="E233" s="3" t="s">
        <v>7</v>
      </c>
      <c r="I233" s="4"/>
      <c r="J233" s="3"/>
      <c r="K233" s="3"/>
      <c r="L233" s="3"/>
      <c r="M233" s="3"/>
      <c r="N233" s="3"/>
    </row>
    <row r="234" spans="1:14" x14ac:dyDescent="0.3">
      <c r="A234" s="4">
        <v>45625</v>
      </c>
      <c r="B234" s="3" t="s">
        <v>44</v>
      </c>
      <c r="C234" s="3">
        <v>500</v>
      </c>
      <c r="D234" s="3" t="s">
        <v>6</v>
      </c>
      <c r="E234" s="3" t="s">
        <v>7</v>
      </c>
      <c r="I234" s="4"/>
      <c r="J234" s="3"/>
      <c r="K234" s="3"/>
      <c r="L234" s="3"/>
      <c r="M234" s="3"/>
      <c r="N234" s="3"/>
    </row>
    <row r="235" spans="1:14" x14ac:dyDescent="0.3">
      <c r="A235" s="4">
        <v>45629</v>
      </c>
      <c r="B235" s="3" t="s">
        <v>44</v>
      </c>
      <c r="C235" s="3">
        <v>500</v>
      </c>
      <c r="D235" s="3" t="s">
        <v>8</v>
      </c>
      <c r="E235" s="3" t="s">
        <v>7</v>
      </c>
      <c r="I235" s="4"/>
      <c r="J235" s="3"/>
      <c r="K235" s="3"/>
      <c r="L235" s="3"/>
      <c r="M235" s="3"/>
      <c r="N235" s="3"/>
    </row>
    <row r="236" spans="1:14" x14ac:dyDescent="0.3">
      <c r="A236" s="4">
        <v>45630</v>
      </c>
      <c r="B236" s="3" t="s">
        <v>5</v>
      </c>
      <c r="C236" s="3">
        <v>70</v>
      </c>
      <c r="D236" s="3" t="s">
        <v>8</v>
      </c>
      <c r="E236" s="3" t="s">
        <v>7</v>
      </c>
      <c r="I236" s="4"/>
      <c r="J236" s="3"/>
      <c r="K236" s="3"/>
      <c r="L236" s="3"/>
      <c r="M236" s="3"/>
      <c r="N236" s="3"/>
    </row>
    <row r="237" spans="1:14" x14ac:dyDescent="0.3">
      <c r="A237" s="4">
        <v>45631</v>
      </c>
      <c r="B237" s="3" t="s">
        <v>14</v>
      </c>
      <c r="C237" s="3">
        <v>750</v>
      </c>
      <c r="D237" s="3" t="s">
        <v>8</v>
      </c>
      <c r="E237" s="3" t="s">
        <v>7</v>
      </c>
      <c r="I237" s="4"/>
      <c r="J237" s="3"/>
      <c r="K237" s="3"/>
      <c r="L237" s="3"/>
      <c r="M237" s="3"/>
      <c r="N237" s="3"/>
    </row>
    <row r="238" spans="1:14" x14ac:dyDescent="0.3">
      <c r="A238" s="4">
        <v>45632</v>
      </c>
      <c r="B238" s="3" t="s">
        <v>36</v>
      </c>
      <c r="C238" s="3">
        <v>200</v>
      </c>
      <c r="D238" s="3" t="s">
        <v>6</v>
      </c>
      <c r="E238" s="3" t="s">
        <v>7</v>
      </c>
      <c r="I238" s="4"/>
      <c r="J238" s="3"/>
      <c r="K238" s="3"/>
      <c r="L238" s="3"/>
      <c r="M238" s="3"/>
      <c r="N238" s="3"/>
    </row>
    <row r="239" spans="1:14" x14ac:dyDescent="0.3">
      <c r="A239" s="4">
        <v>45633</v>
      </c>
      <c r="B239" s="3" t="s">
        <v>36</v>
      </c>
      <c r="C239" s="3">
        <v>100</v>
      </c>
      <c r="D239" s="3" t="s">
        <v>8</v>
      </c>
      <c r="E239" s="3" t="s">
        <v>7</v>
      </c>
      <c r="I239" s="4"/>
      <c r="J239" s="3"/>
      <c r="K239" s="3"/>
      <c r="L239" s="3"/>
      <c r="M239" s="3"/>
      <c r="N239" s="3"/>
    </row>
    <row r="240" spans="1:14" x14ac:dyDescent="0.3">
      <c r="A240" s="4">
        <v>45633</v>
      </c>
      <c r="B240" s="3" t="s">
        <v>39</v>
      </c>
      <c r="C240" s="3">
        <v>900</v>
      </c>
      <c r="D240" s="3" t="s">
        <v>8</v>
      </c>
      <c r="E240" s="3" t="s">
        <v>7</v>
      </c>
      <c r="I240" s="4"/>
      <c r="J240" s="3"/>
      <c r="K240" s="3"/>
      <c r="L240" s="3"/>
      <c r="M240" s="3"/>
      <c r="N240" s="3"/>
    </row>
    <row r="241" spans="1:14" x14ac:dyDescent="0.3">
      <c r="A241" s="4">
        <v>45633</v>
      </c>
      <c r="B241" s="3" t="s">
        <v>39</v>
      </c>
      <c r="C241" s="3">
        <v>700</v>
      </c>
      <c r="D241" s="3" t="s">
        <v>6</v>
      </c>
      <c r="E241" s="3" t="s">
        <v>7</v>
      </c>
      <c r="I241" s="4"/>
      <c r="J241" s="3"/>
      <c r="K241" s="3"/>
      <c r="L241" s="3"/>
      <c r="M241" s="3"/>
      <c r="N241" s="3"/>
    </row>
    <row r="242" spans="1:14" x14ac:dyDescent="0.3">
      <c r="A242" s="4">
        <v>45636</v>
      </c>
      <c r="B242" s="3" t="s">
        <v>36</v>
      </c>
      <c r="C242" s="3">
        <v>350</v>
      </c>
      <c r="D242" s="3" t="s">
        <v>8</v>
      </c>
      <c r="E242" s="3" t="s">
        <v>7</v>
      </c>
      <c r="I242" s="4"/>
      <c r="J242" s="3"/>
      <c r="K242" s="3"/>
      <c r="L242" s="3"/>
      <c r="M242" s="3"/>
      <c r="N242" s="3"/>
    </row>
    <row r="243" spans="1:14" x14ac:dyDescent="0.3">
      <c r="A243" s="4">
        <v>45637</v>
      </c>
      <c r="B243" s="3" t="s">
        <v>36</v>
      </c>
      <c r="C243" s="3">
        <v>250</v>
      </c>
      <c r="D243" s="3" t="s">
        <v>8</v>
      </c>
      <c r="E243" s="3" t="s">
        <v>7</v>
      </c>
      <c r="I243" s="4"/>
      <c r="J243" s="3"/>
      <c r="K243" s="3"/>
      <c r="L243" s="3"/>
      <c r="M243" s="3"/>
      <c r="N243" s="3"/>
    </row>
    <row r="244" spans="1:14" x14ac:dyDescent="0.3">
      <c r="A244" s="4">
        <v>45639</v>
      </c>
      <c r="B244" s="3" t="s">
        <v>28</v>
      </c>
      <c r="C244" s="3">
        <v>800</v>
      </c>
      <c r="D244" s="3" t="s">
        <v>8</v>
      </c>
      <c r="E244" s="3" t="s">
        <v>7</v>
      </c>
      <c r="I244" s="4"/>
      <c r="J244" s="3"/>
      <c r="K244" s="3"/>
      <c r="L244" s="3"/>
      <c r="M244" s="3"/>
      <c r="N244" s="3"/>
    </row>
    <row r="245" spans="1:14" x14ac:dyDescent="0.3">
      <c r="A245" s="4">
        <v>45639</v>
      </c>
      <c r="B245" s="3" t="s">
        <v>33</v>
      </c>
      <c r="C245" s="3">
        <v>800</v>
      </c>
      <c r="D245" s="3" t="s">
        <v>8</v>
      </c>
      <c r="E245" s="3" t="s">
        <v>7</v>
      </c>
      <c r="I245" s="4"/>
      <c r="J245" s="3"/>
      <c r="K245" s="3"/>
      <c r="L245" s="3"/>
      <c r="M245" s="3"/>
      <c r="N245" s="3"/>
    </row>
    <row r="246" spans="1:14" x14ac:dyDescent="0.3">
      <c r="A246" s="4">
        <v>45639</v>
      </c>
      <c r="B246" s="3" t="s">
        <v>5</v>
      </c>
      <c r="C246" s="3">
        <v>90</v>
      </c>
      <c r="D246" s="3" t="s">
        <v>8</v>
      </c>
      <c r="E246" s="3" t="s">
        <v>7</v>
      </c>
      <c r="I246" s="4"/>
      <c r="J246" s="3"/>
      <c r="K246" s="3"/>
      <c r="L246" s="3"/>
      <c r="M246" s="3"/>
      <c r="N246" s="3"/>
    </row>
    <row r="247" spans="1:14" x14ac:dyDescent="0.3">
      <c r="A247" s="4">
        <v>45643</v>
      </c>
      <c r="B247" s="3" t="s">
        <v>14</v>
      </c>
      <c r="C247" s="66">
        <v>1150</v>
      </c>
      <c r="D247" s="3" t="s">
        <v>8</v>
      </c>
      <c r="E247" s="3" t="s">
        <v>7</v>
      </c>
      <c r="I247" s="4"/>
      <c r="J247" s="3"/>
      <c r="K247" s="3"/>
      <c r="L247" s="3"/>
      <c r="M247" s="3"/>
      <c r="N247" s="3"/>
    </row>
    <row r="248" spans="1:14" x14ac:dyDescent="0.3">
      <c r="A248" s="4">
        <v>45643</v>
      </c>
      <c r="B248" s="3" t="s">
        <v>52</v>
      </c>
      <c r="C248" s="66"/>
      <c r="D248" s="3" t="s">
        <v>8</v>
      </c>
      <c r="E248" s="3" t="s">
        <v>7</v>
      </c>
      <c r="I248" s="4"/>
      <c r="J248" s="3"/>
      <c r="K248" s="3"/>
      <c r="L248" s="3"/>
      <c r="M248" s="3"/>
      <c r="N248" s="3"/>
    </row>
    <row r="249" spans="1:14" x14ac:dyDescent="0.3">
      <c r="A249" s="4">
        <v>45643</v>
      </c>
      <c r="B249" s="3" t="s">
        <v>18</v>
      </c>
      <c r="C249" s="3">
        <v>350</v>
      </c>
      <c r="D249" s="3" t="s">
        <v>8</v>
      </c>
      <c r="E249" s="3" t="s">
        <v>7</v>
      </c>
      <c r="I249" s="4"/>
      <c r="J249" s="3"/>
      <c r="K249" s="3"/>
      <c r="L249" s="3"/>
      <c r="M249" s="3"/>
      <c r="N249" s="3"/>
    </row>
    <row r="250" spans="1:14" x14ac:dyDescent="0.3">
      <c r="A250" s="4">
        <v>45644</v>
      </c>
      <c r="B250" s="3" t="s">
        <v>53</v>
      </c>
      <c r="C250" s="3">
        <v>300</v>
      </c>
      <c r="D250" s="3" t="s">
        <v>6</v>
      </c>
      <c r="E250" s="3" t="s">
        <v>7</v>
      </c>
      <c r="I250" s="4"/>
      <c r="J250" s="3"/>
      <c r="K250" s="3"/>
      <c r="L250" s="3"/>
      <c r="M250" s="3"/>
      <c r="N250" s="3"/>
    </row>
    <row r="251" spans="1:14" x14ac:dyDescent="0.3">
      <c r="A251" s="4">
        <v>45645</v>
      </c>
      <c r="B251" s="3" t="s">
        <v>36</v>
      </c>
      <c r="C251" s="3">
        <v>100</v>
      </c>
      <c r="D251" s="3" t="s">
        <v>8</v>
      </c>
      <c r="E251" s="3" t="s">
        <v>7</v>
      </c>
      <c r="I251" s="4"/>
      <c r="J251" s="3"/>
      <c r="K251" s="3"/>
      <c r="L251" s="3"/>
      <c r="M251" s="3"/>
      <c r="N251" s="3"/>
    </row>
    <row r="252" spans="1:14" x14ac:dyDescent="0.3">
      <c r="A252" s="4">
        <v>45646</v>
      </c>
      <c r="B252" s="3" t="s">
        <v>54</v>
      </c>
      <c r="C252" s="3">
        <v>500</v>
      </c>
      <c r="D252" s="3" t="s">
        <v>8</v>
      </c>
      <c r="E252" s="3" t="s">
        <v>7</v>
      </c>
      <c r="I252" s="4"/>
      <c r="J252" s="3"/>
      <c r="K252" s="3"/>
      <c r="L252" s="3"/>
      <c r="M252" s="3"/>
      <c r="N252" s="3"/>
    </row>
    <row r="253" spans="1:14" x14ac:dyDescent="0.3">
      <c r="A253" s="4">
        <v>45647</v>
      </c>
      <c r="B253" s="3" t="s">
        <v>36</v>
      </c>
      <c r="C253" s="3">
        <v>100</v>
      </c>
      <c r="D253" s="3" t="s">
        <v>8</v>
      </c>
      <c r="E253" s="3" t="s">
        <v>7</v>
      </c>
      <c r="I253" s="4"/>
      <c r="J253" s="3"/>
      <c r="K253" s="3"/>
      <c r="L253" s="3"/>
      <c r="M253" s="3"/>
      <c r="N253" s="3"/>
    </row>
    <row r="254" spans="1:14" x14ac:dyDescent="0.3">
      <c r="A254" s="4">
        <v>45647</v>
      </c>
      <c r="B254" s="3" t="s">
        <v>18</v>
      </c>
      <c r="C254" s="3">
        <v>550</v>
      </c>
      <c r="D254" s="3" t="s">
        <v>8</v>
      </c>
      <c r="E254" s="3" t="s">
        <v>7</v>
      </c>
      <c r="I254" s="4"/>
      <c r="J254" s="3"/>
      <c r="K254" s="3"/>
      <c r="L254" s="3"/>
      <c r="M254" s="3"/>
      <c r="N254" s="3"/>
    </row>
    <row r="255" spans="1:14" x14ac:dyDescent="0.3">
      <c r="A255" s="4">
        <v>45647</v>
      </c>
      <c r="B255" s="3" t="s">
        <v>30</v>
      </c>
      <c r="C255" s="3">
        <v>500</v>
      </c>
      <c r="D255" s="3" t="s">
        <v>8</v>
      </c>
      <c r="E255" s="3" t="s">
        <v>7</v>
      </c>
      <c r="I255" s="4"/>
      <c r="J255" s="3"/>
      <c r="K255" s="3"/>
      <c r="L255" s="3"/>
      <c r="M255" s="3"/>
      <c r="N255" s="3"/>
    </row>
    <row r="256" spans="1:14" x14ac:dyDescent="0.3">
      <c r="A256" s="4">
        <v>45648</v>
      </c>
      <c r="B256" s="3" t="s">
        <v>39</v>
      </c>
      <c r="C256" s="3">
        <v>800</v>
      </c>
      <c r="D256" s="3" t="s">
        <v>8</v>
      </c>
      <c r="E256" s="3" t="s">
        <v>7</v>
      </c>
      <c r="I256" s="4"/>
      <c r="J256" s="3"/>
      <c r="K256" s="3"/>
      <c r="L256" s="3"/>
      <c r="M256" s="3"/>
      <c r="N256" s="3"/>
    </row>
    <row r="257" spans="1:14" x14ac:dyDescent="0.3">
      <c r="A257" s="4">
        <v>45649</v>
      </c>
      <c r="B257" s="3" t="s">
        <v>5</v>
      </c>
      <c r="C257" s="3">
        <v>70</v>
      </c>
      <c r="D257" s="3" t="s">
        <v>8</v>
      </c>
      <c r="E257" s="3" t="s">
        <v>7</v>
      </c>
      <c r="I257" s="4"/>
      <c r="J257" s="3"/>
      <c r="K257" s="3"/>
      <c r="L257" s="3"/>
      <c r="M257" s="3"/>
      <c r="N257" s="3"/>
    </row>
    <row r="258" spans="1:14" x14ac:dyDescent="0.3">
      <c r="A258" s="4">
        <v>45649</v>
      </c>
      <c r="B258" s="3" t="s">
        <v>5</v>
      </c>
      <c r="C258" s="3">
        <v>50</v>
      </c>
      <c r="D258" s="3" t="s">
        <v>8</v>
      </c>
      <c r="E258" s="3" t="s">
        <v>7</v>
      </c>
      <c r="I258" s="4"/>
      <c r="J258" s="3"/>
      <c r="K258" s="3"/>
      <c r="L258" s="3"/>
      <c r="M258" s="3"/>
      <c r="N258" s="3"/>
    </row>
    <row r="259" spans="1:14" x14ac:dyDescent="0.3">
      <c r="A259" s="4">
        <v>45649</v>
      </c>
      <c r="B259" s="3" t="s">
        <v>5</v>
      </c>
      <c r="C259" s="3">
        <v>50</v>
      </c>
      <c r="D259" s="3" t="s">
        <v>8</v>
      </c>
      <c r="E259" s="3" t="s">
        <v>7</v>
      </c>
      <c r="I259" s="4"/>
      <c r="J259" s="3"/>
      <c r="K259" s="3"/>
      <c r="L259" s="3"/>
      <c r="M259" s="3"/>
      <c r="N259" s="3"/>
    </row>
    <row r="260" spans="1:14" x14ac:dyDescent="0.3">
      <c r="A260" s="4">
        <v>45652</v>
      </c>
      <c r="B260" s="3" t="s">
        <v>5</v>
      </c>
      <c r="C260" s="3">
        <v>750</v>
      </c>
      <c r="D260" s="3" t="s">
        <v>8</v>
      </c>
      <c r="E260" s="3" t="s">
        <v>7</v>
      </c>
      <c r="I260" s="4"/>
      <c r="J260" s="3"/>
      <c r="K260" s="3"/>
      <c r="L260" s="3"/>
      <c r="M260" s="3"/>
      <c r="N260" s="3"/>
    </row>
    <row r="261" spans="1:14" x14ac:dyDescent="0.3">
      <c r="A261" s="4">
        <v>45653</v>
      </c>
      <c r="B261" s="3" t="s">
        <v>14</v>
      </c>
      <c r="C261" s="3">
        <v>850</v>
      </c>
      <c r="D261" s="3" t="s">
        <v>8</v>
      </c>
      <c r="E261" s="3" t="s">
        <v>7</v>
      </c>
      <c r="I261" s="4"/>
      <c r="J261" s="3"/>
      <c r="K261" s="3"/>
      <c r="L261" s="3"/>
      <c r="M261" s="3"/>
      <c r="N261" s="3"/>
    </row>
    <row r="262" spans="1:14" x14ac:dyDescent="0.3">
      <c r="A262" s="4">
        <v>45654</v>
      </c>
      <c r="B262" s="3" t="s">
        <v>14</v>
      </c>
      <c r="C262" s="3">
        <v>750</v>
      </c>
      <c r="D262" s="3" t="s">
        <v>8</v>
      </c>
      <c r="E262" s="3" t="s">
        <v>7</v>
      </c>
      <c r="I262" s="4"/>
      <c r="J262" s="3"/>
      <c r="K262" s="3"/>
      <c r="L262" s="3"/>
      <c r="M262" s="3"/>
      <c r="N262" s="3"/>
    </row>
    <row r="263" spans="1:14" x14ac:dyDescent="0.3">
      <c r="A263" s="4">
        <v>45654</v>
      </c>
      <c r="B263" s="3" t="s">
        <v>5</v>
      </c>
      <c r="C263" s="3">
        <v>50</v>
      </c>
      <c r="D263" s="3" t="s">
        <v>8</v>
      </c>
      <c r="E263" s="3" t="s">
        <v>7</v>
      </c>
      <c r="I263" s="4"/>
      <c r="J263" s="3"/>
      <c r="K263" s="3"/>
      <c r="L263" s="3"/>
      <c r="M263" s="3"/>
      <c r="N263" s="3"/>
    </row>
    <row r="264" spans="1:14" x14ac:dyDescent="0.3">
      <c r="A264" s="4">
        <v>45656</v>
      </c>
      <c r="B264" s="3" t="s">
        <v>36</v>
      </c>
      <c r="C264" s="3">
        <v>100</v>
      </c>
      <c r="D264" s="3" t="s">
        <v>6</v>
      </c>
      <c r="E264" s="3" t="s">
        <v>7</v>
      </c>
      <c r="I264" s="4"/>
      <c r="J264" s="3"/>
      <c r="K264" s="3"/>
      <c r="L264" s="3"/>
      <c r="M264" s="3"/>
      <c r="N264" s="3"/>
    </row>
    <row r="265" spans="1:14" ht="15.6" customHeight="1" x14ac:dyDescent="0.3">
      <c r="A265" s="4">
        <v>45659</v>
      </c>
      <c r="B265" s="3" t="s">
        <v>44</v>
      </c>
      <c r="C265" s="3">
        <v>550</v>
      </c>
      <c r="D265" s="3" t="s">
        <v>8</v>
      </c>
      <c r="E265" s="3" t="s">
        <v>7</v>
      </c>
      <c r="I265" s="4"/>
      <c r="J265" s="3"/>
      <c r="K265" s="3"/>
      <c r="L265" s="3"/>
      <c r="M265" s="3"/>
      <c r="N265" s="3"/>
    </row>
    <row r="266" spans="1:14" ht="15.6" customHeight="1" x14ac:dyDescent="0.3">
      <c r="A266" s="4">
        <v>45659</v>
      </c>
      <c r="B266" s="3" t="s">
        <v>5</v>
      </c>
      <c r="C266" s="3">
        <v>50</v>
      </c>
      <c r="D266" s="3" t="s">
        <v>8</v>
      </c>
      <c r="E266" s="3" t="s">
        <v>7</v>
      </c>
      <c r="I266" s="4"/>
      <c r="J266" s="3"/>
      <c r="K266" s="3"/>
      <c r="L266" s="3"/>
      <c r="M266" s="3"/>
      <c r="N266" s="3"/>
    </row>
    <row r="267" spans="1:14" ht="15.6" customHeight="1" x14ac:dyDescent="0.3">
      <c r="A267" s="4">
        <v>45659</v>
      </c>
      <c r="B267" s="3" t="s">
        <v>5</v>
      </c>
      <c r="C267" s="3">
        <v>70</v>
      </c>
      <c r="D267" s="3" t="s">
        <v>6</v>
      </c>
      <c r="E267" s="3" t="s">
        <v>7</v>
      </c>
      <c r="I267" s="4"/>
      <c r="J267" s="3"/>
      <c r="K267" s="3"/>
      <c r="L267" s="3"/>
      <c r="M267" s="3"/>
      <c r="N267" s="3"/>
    </row>
    <row r="268" spans="1:14" ht="15.6" customHeight="1" x14ac:dyDescent="0.3">
      <c r="A268" s="4">
        <v>45659</v>
      </c>
      <c r="B268" s="3" t="s">
        <v>14</v>
      </c>
      <c r="C268" s="3">
        <v>1000</v>
      </c>
      <c r="D268" s="3" t="s">
        <v>8</v>
      </c>
      <c r="E268" s="3" t="s">
        <v>7</v>
      </c>
      <c r="I268" s="4"/>
      <c r="J268" s="3"/>
      <c r="K268" s="3"/>
      <c r="L268" s="3"/>
      <c r="M268" s="3"/>
      <c r="N268" s="3"/>
    </row>
    <row r="269" spans="1:14" ht="15.6" customHeight="1" x14ac:dyDescent="0.3">
      <c r="A269" s="4">
        <v>45660</v>
      </c>
      <c r="B269" s="3" t="s">
        <v>14</v>
      </c>
      <c r="C269" s="3">
        <v>750</v>
      </c>
      <c r="D269" s="3" t="s">
        <v>8</v>
      </c>
      <c r="E269" s="3" t="s">
        <v>7</v>
      </c>
      <c r="I269" s="4"/>
      <c r="J269" s="3"/>
      <c r="K269" s="3"/>
      <c r="L269" s="3"/>
      <c r="M269" s="3"/>
      <c r="N269" s="3"/>
    </row>
    <row r="270" spans="1:14" ht="15.6" customHeight="1" x14ac:dyDescent="0.3">
      <c r="A270" s="4">
        <v>45660</v>
      </c>
      <c r="B270" s="3" t="s">
        <v>14</v>
      </c>
      <c r="C270" s="66">
        <v>820</v>
      </c>
      <c r="D270" s="3" t="s">
        <v>6</v>
      </c>
      <c r="E270" s="3" t="s">
        <v>7</v>
      </c>
      <c r="I270" s="4"/>
      <c r="J270" s="3"/>
      <c r="K270" s="3"/>
      <c r="L270" s="3"/>
      <c r="M270" s="3"/>
      <c r="N270" s="3"/>
    </row>
    <row r="271" spans="1:14" ht="15.6" customHeight="1" x14ac:dyDescent="0.3">
      <c r="A271" s="4">
        <v>45660</v>
      </c>
      <c r="B271" s="3" t="s">
        <v>5</v>
      </c>
      <c r="C271" s="66"/>
      <c r="D271" s="3" t="s">
        <v>6</v>
      </c>
      <c r="E271" s="3" t="s">
        <v>7</v>
      </c>
      <c r="I271" s="4"/>
      <c r="J271" s="3"/>
      <c r="K271" s="3"/>
      <c r="L271" s="3"/>
      <c r="M271" s="3"/>
      <c r="N271" s="3"/>
    </row>
    <row r="272" spans="1:14" ht="15.6" customHeight="1" x14ac:dyDescent="0.3">
      <c r="A272" s="4">
        <v>45660</v>
      </c>
      <c r="B272" s="3" t="s">
        <v>5</v>
      </c>
      <c r="C272" s="3">
        <v>50</v>
      </c>
      <c r="D272" s="3" t="s">
        <v>8</v>
      </c>
      <c r="E272" s="3" t="s">
        <v>7</v>
      </c>
      <c r="I272" s="4"/>
      <c r="J272" s="3"/>
      <c r="K272" s="3"/>
      <c r="L272" s="3"/>
      <c r="M272" s="3"/>
      <c r="N272" s="3"/>
    </row>
    <row r="273" spans="1:14" ht="15.6" customHeight="1" x14ac:dyDescent="0.3">
      <c r="A273" s="4">
        <v>45661</v>
      </c>
      <c r="B273" s="3" t="s">
        <v>36</v>
      </c>
      <c r="C273" s="3">
        <v>120</v>
      </c>
      <c r="D273" s="3" t="s">
        <v>8</v>
      </c>
      <c r="E273" s="3" t="s">
        <v>7</v>
      </c>
      <c r="I273" s="4"/>
      <c r="J273" s="3"/>
      <c r="K273" s="3"/>
      <c r="L273" s="3"/>
      <c r="M273" s="3"/>
      <c r="N273" s="3"/>
    </row>
    <row r="274" spans="1:14" ht="15.6" customHeight="1" x14ac:dyDescent="0.3">
      <c r="A274" s="4">
        <v>45661</v>
      </c>
      <c r="B274" s="3" t="s">
        <v>55</v>
      </c>
      <c r="C274" s="3">
        <v>600</v>
      </c>
      <c r="D274" s="3" t="s">
        <v>8</v>
      </c>
      <c r="E274" s="3" t="s">
        <v>7</v>
      </c>
      <c r="I274" s="4"/>
      <c r="J274" s="3"/>
      <c r="K274" s="3"/>
      <c r="L274" s="3"/>
      <c r="M274" s="3"/>
      <c r="N274" s="3"/>
    </row>
    <row r="275" spans="1:14" ht="15.6" customHeight="1" x14ac:dyDescent="0.3">
      <c r="A275" s="4">
        <v>45661</v>
      </c>
      <c r="B275" s="3" t="s">
        <v>11</v>
      </c>
      <c r="C275" s="3">
        <v>350</v>
      </c>
      <c r="D275" s="3" t="s">
        <v>6</v>
      </c>
      <c r="E275" s="3" t="s">
        <v>7</v>
      </c>
      <c r="I275" s="4"/>
      <c r="J275" s="3"/>
      <c r="K275" s="3"/>
      <c r="L275" s="3"/>
      <c r="M275" s="3"/>
      <c r="N275" s="3"/>
    </row>
    <row r="276" spans="1:14" ht="15.6" customHeight="1" x14ac:dyDescent="0.3">
      <c r="A276" s="4">
        <v>45662</v>
      </c>
      <c r="B276" s="3" t="s">
        <v>13</v>
      </c>
      <c r="C276" s="3">
        <v>350</v>
      </c>
      <c r="D276" s="3" t="s">
        <v>8</v>
      </c>
      <c r="E276" s="3" t="s">
        <v>7</v>
      </c>
      <c r="I276" s="4"/>
      <c r="J276" s="3"/>
      <c r="K276" s="3"/>
      <c r="L276" s="3"/>
      <c r="M276" s="3"/>
      <c r="N276" s="3"/>
    </row>
    <row r="277" spans="1:14" ht="15.6" customHeight="1" x14ac:dyDescent="0.3">
      <c r="A277" s="4">
        <v>45662</v>
      </c>
      <c r="B277" s="3" t="s">
        <v>5</v>
      </c>
      <c r="C277" s="3">
        <v>50</v>
      </c>
      <c r="D277" s="3" t="s">
        <v>8</v>
      </c>
      <c r="E277" s="3" t="s">
        <v>7</v>
      </c>
      <c r="I277" s="4"/>
      <c r="J277" s="3"/>
      <c r="K277" s="3"/>
      <c r="L277" s="3"/>
      <c r="M277" s="3"/>
      <c r="N277" s="3"/>
    </row>
    <row r="278" spans="1:14" ht="15.6" customHeight="1" x14ac:dyDescent="0.3">
      <c r="A278" s="4">
        <v>45662</v>
      </c>
      <c r="B278" s="3" t="s">
        <v>36</v>
      </c>
      <c r="C278" s="3">
        <v>100</v>
      </c>
      <c r="D278" s="3" t="s">
        <v>8</v>
      </c>
      <c r="E278" s="3" t="s">
        <v>7</v>
      </c>
      <c r="I278" s="4"/>
      <c r="J278" s="3"/>
      <c r="K278" s="3"/>
      <c r="L278" s="3"/>
      <c r="M278" s="3"/>
      <c r="N278" s="3"/>
    </row>
    <row r="279" spans="1:14" ht="15.6" customHeight="1" x14ac:dyDescent="0.3">
      <c r="A279" s="4">
        <v>45662</v>
      </c>
      <c r="B279" s="3" t="s">
        <v>11</v>
      </c>
      <c r="C279" s="3">
        <v>300</v>
      </c>
      <c r="D279" s="3" t="s">
        <v>6</v>
      </c>
      <c r="E279" s="3" t="s">
        <v>7</v>
      </c>
      <c r="I279" s="4"/>
      <c r="J279" s="3"/>
      <c r="K279" s="3"/>
      <c r="L279" s="3"/>
      <c r="M279" s="3"/>
      <c r="N279" s="3"/>
    </row>
    <row r="280" spans="1:14" ht="15.6" customHeight="1" x14ac:dyDescent="0.3">
      <c r="A280" s="4">
        <v>45663</v>
      </c>
      <c r="B280" s="3" t="s">
        <v>56</v>
      </c>
      <c r="C280" s="3">
        <v>400</v>
      </c>
      <c r="D280" s="3" t="s">
        <v>8</v>
      </c>
      <c r="E280" s="3" t="s">
        <v>7</v>
      </c>
      <c r="I280" s="4"/>
      <c r="J280" s="3"/>
      <c r="K280" s="3"/>
      <c r="L280" s="3"/>
      <c r="M280" s="3"/>
      <c r="N280" s="3"/>
    </row>
    <row r="281" spans="1:14" ht="15.6" customHeight="1" x14ac:dyDescent="0.3">
      <c r="A281" s="4">
        <v>45663</v>
      </c>
      <c r="B281" s="3" t="s">
        <v>34</v>
      </c>
      <c r="C281" s="3">
        <v>700</v>
      </c>
      <c r="D281" s="3" t="s">
        <v>8</v>
      </c>
      <c r="E281" s="3" t="s">
        <v>7</v>
      </c>
      <c r="I281" s="4"/>
      <c r="J281" s="3"/>
      <c r="K281" s="3"/>
      <c r="L281" s="3"/>
      <c r="M281" s="3"/>
      <c r="N281" s="3"/>
    </row>
    <row r="282" spans="1:14" ht="15.6" customHeight="1" x14ac:dyDescent="0.3">
      <c r="A282" s="4">
        <v>45663</v>
      </c>
      <c r="B282" s="3" t="s">
        <v>57</v>
      </c>
      <c r="C282" s="3">
        <v>600</v>
      </c>
      <c r="D282" s="3" t="s">
        <v>8</v>
      </c>
      <c r="E282" s="3" t="s">
        <v>7</v>
      </c>
      <c r="I282" s="4"/>
      <c r="J282" s="3"/>
      <c r="K282" s="3"/>
      <c r="L282" s="3"/>
      <c r="M282" s="3"/>
      <c r="N282" s="3"/>
    </row>
    <row r="283" spans="1:14" ht="15.6" customHeight="1" x14ac:dyDescent="0.3">
      <c r="A283" s="4">
        <v>45664</v>
      </c>
      <c r="B283" s="3" t="s">
        <v>5</v>
      </c>
      <c r="C283" s="3">
        <v>50</v>
      </c>
      <c r="D283" s="3" t="s">
        <v>8</v>
      </c>
      <c r="E283" s="3" t="s">
        <v>7</v>
      </c>
      <c r="I283" s="4"/>
      <c r="J283" s="3"/>
      <c r="K283" s="3"/>
      <c r="L283" s="3"/>
      <c r="M283" s="3"/>
      <c r="N283" s="3"/>
    </row>
    <row r="284" spans="1:14" ht="15.6" customHeight="1" x14ac:dyDescent="0.3">
      <c r="A284" s="4">
        <v>45665</v>
      </c>
      <c r="B284" s="3" t="s">
        <v>14</v>
      </c>
      <c r="C284" s="3">
        <v>900</v>
      </c>
      <c r="D284" s="3" t="s">
        <v>8</v>
      </c>
      <c r="E284" s="3" t="s">
        <v>7</v>
      </c>
      <c r="I284" s="4"/>
      <c r="J284" s="3"/>
      <c r="K284" s="3"/>
      <c r="L284" s="3"/>
      <c r="M284" s="3"/>
      <c r="N284" s="3"/>
    </row>
    <row r="285" spans="1:14" ht="15.6" customHeight="1" x14ac:dyDescent="0.3">
      <c r="A285" s="4">
        <v>45665</v>
      </c>
      <c r="B285" s="3" t="s">
        <v>14</v>
      </c>
      <c r="C285" s="3">
        <v>900</v>
      </c>
      <c r="D285" s="3" t="s">
        <v>8</v>
      </c>
      <c r="E285" s="3" t="s">
        <v>7</v>
      </c>
      <c r="I285" s="4"/>
      <c r="J285" s="3"/>
      <c r="K285" s="3"/>
      <c r="L285" s="3"/>
      <c r="M285" s="3"/>
      <c r="N285" s="3"/>
    </row>
    <row r="286" spans="1:14" ht="15.6" customHeight="1" x14ac:dyDescent="0.3">
      <c r="A286" s="4">
        <v>45665</v>
      </c>
      <c r="B286" s="3" t="s">
        <v>43</v>
      </c>
      <c r="C286" s="3">
        <v>1000</v>
      </c>
      <c r="D286" s="3" t="s">
        <v>8</v>
      </c>
      <c r="E286" s="3" t="s">
        <v>7</v>
      </c>
      <c r="I286" s="4"/>
      <c r="J286" s="3"/>
      <c r="K286" s="3"/>
      <c r="L286" s="3"/>
      <c r="M286" s="3"/>
      <c r="N286" s="3"/>
    </row>
    <row r="287" spans="1:14" ht="15.6" customHeight="1" x14ac:dyDescent="0.3">
      <c r="A287" s="4">
        <v>45665</v>
      </c>
      <c r="B287" s="3" t="s">
        <v>43</v>
      </c>
      <c r="C287" s="3">
        <v>900</v>
      </c>
      <c r="D287" s="3" t="s">
        <v>8</v>
      </c>
      <c r="E287" s="3" t="s">
        <v>7</v>
      </c>
      <c r="I287" s="4"/>
      <c r="J287" s="3"/>
      <c r="K287" s="3"/>
      <c r="L287" s="3"/>
      <c r="M287" s="3"/>
      <c r="N287" s="3"/>
    </row>
    <row r="288" spans="1:14" ht="15.6" customHeight="1" x14ac:dyDescent="0.3">
      <c r="A288" s="4">
        <v>45665</v>
      </c>
      <c r="B288" s="3" t="s">
        <v>44</v>
      </c>
      <c r="C288" s="3">
        <v>1000</v>
      </c>
      <c r="D288" s="3" t="s">
        <v>8</v>
      </c>
      <c r="E288" s="3" t="s">
        <v>7</v>
      </c>
      <c r="I288" s="4"/>
      <c r="J288" s="3"/>
      <c r="K288" s="3"/>
      <c r="L288" s="3"/>
      <c r="M288" s="3"/>
      <c r="N288" s="3"/>
    </row>
    <row r="289" spans="1:14" ht="15.6" customHeight="1" x14ac:dyDescent="0.3">
      <c r="A289" s="4">
        <v>45665</v>
      </c>
      <c r="B289" s="3" t="s">
        <v>5</v>
      </c>
      <c r="C289" s="3">
        <v>50</v>
      </c>
      <c r="D289" s="3" t="s">
        <v>6</v>
      </c>
      <c r="E289" s="3" t="s">
        <v>7</v>
      </c>
      <c r="I289" s="4"/>
      <c r="J289" s="3"/>
      <c r="K289" s="3"/>
      <c r="L289" s="3"/>
      <c r="M289" s="3"/>
      <c r="N289" s="3"/>
    </row>
    <row r="290" spans="1:14" ht="15.6" customHeight="1" x14ac:dyDescent="0.3">
      <c r="A290" s="4">
        <v>45666</v>
      </c>
      <c r="B290" s="3" t="s">
        <v>48</v>
      </c>
      <c r="C290" s="3">
        <v>800</v>
      </c>
      <c r="D290" s="3" t="s">
        <v>8</v>
      </c>
      <c r="E290" s="3" t="s">
        <v>7</v>
      </c>
      <c r="I290" s="4"/>
      <c r="J290" s="3"/>
      <c r="K290" s="3"/>
      <c r="L290" s="3"/>
      <c r="M290" s="3"/>
      <c r="N290" s="3"/>
    </row>
    <row r="291" spans="1:14" ht="15.6" customHeight="1" x14ac:dyDescent="0.3">
      <c r="A291" s="4">
        <v>45666</v>
      </c>
      <c r="B291" s="3" t="s">
        <v>55</v>
      </c>
      <c r="C291" s="3">
        <v>500</v>
      </c>
      <c r="D291" s="3" t="s">
        <v>8</v>
      </c>
      <c r="E291" s="3" t="s">
        <v>7</v>
      </c>
      <c r="I291" s="4"/>
      <c r="J291" s="3"/>
      <c r="K291" s="3"/>
      <c r="L291" s="3"/>
      <c r="M291" s="3"/>
      <c r="N291" s="3"/>
    </row>
    <row r="292" spans="1:14" ht="15.6" customHeight="1" x14ac:dyDescent="0.3">
      <c r="A292" s="4">
        <v>45666</v>
      </c>
      <c r="B292" s="3" t="s">
        <v>5</v>
      </c>
      <c r="C292" s="3">
        <v>40</v>
      </c>
      <c r="D292" s="3" t="s">
        <v>8</v>
      </c>
      <c r="E292" s="3" t="s">
        <v>7</v>
      </c>
      <c r="I292" s="4"/>
      <c r="J292" s="3"/>
      <c r="K292" s="3"/>
      <c r="L292" s="3"/>
      <c r="M292" s="3"/>
      <c r="N292" s="3"/>
    </row>
    <row r="293" spans="1:14" ht="15.6" customHeight="1" x14ac:dyDescent="0.3">
      <c r="A293" s="4">
        <v>45667</v>
      </c>
      <c r="B293" s="3" t="s">
        <v>5</v>
      </c>
      <c r="C293" s="3">
        <v>60</v>
      </c>
      <c r="D293" s="3" t="s">
        <v>6</v>
      </c>
      <c r="E293" s="3" t="s">
        <v>7</v>
      </c>
      <c r="I293" s="4"/>
      <c r="J293" s="3"/>
      <c r="K293" s="3"/>
      <c r="L293" s="3"/>
      <c r="M293" s="3"/>
      <c r="N293" s="3"/>
    </row>
    <row r="294" spans="1:14" ht="15.6" customHeight="1" x14ac:dyDescent="0.3">
      <c r="A294" s="4">
        <v>45667</v>
      </c>
      <c r="B294" s="3" t="s">
        <v>5</v>
      </c>
      <c r="C294" s="3">
        <v>60</v>
      </c>
      <c r="D294" s="3" t="s">
        <v>6</v>
      </c>
      <c r="E294" s="3" t="s">
        <v>7</v>
      </c>
      <c r="I294" s="4"/>
      <c r="J294" s="3"/>
      <c r="K294" s="3"/>
      <c r="L294" s="3"/>
      <c r="M294" s="3"/>
      <c r="N294" s="3"/>
    </row>
    <row r="295" spans="1:14" ht="15.6" customHeight="1" x14ac:dyDescent="0.3">
      <c r="A295" s="4">
        <v>45668</v>
      </c>
      <c r="B295" s="3" t="s">
        <v>36</v>
      </c>
      <c r="C295" s="3">
        <v>100</v>
      </c>
      <c r="D295" s="3" t="s">
        <v>8</v>
      </c>
      <c r="E295" s="3" t="s">
        <v>7</v>
      </c>
      <c r="I295" s="4"/>
      <c r="J295" s="3"/>
      <c r="K295" s="3"/>
      <c r="L295" s="3"/>
      <c r="M295" s="3"/>
      <c r="N295" s="3"/>
    </row>
    <row r="296" spans="1:14" ht="15.6" customHeight="1" x14ac:dyDescent="0.3">
      <c r="A296" s="4">
        <v>45668</v>
      </c>
      <c r="B296" s="3" t="s">
        <v>36</v>
      </c>
      <c r="C296" s="3">
        <v>120</v>
      </c>
      <c r="D296" s="3" t="s">
        <v>8</v>
      </c>
      <c r="E296" s="3" t="s">
        <v>7</v>
      </c>
      <c r="I296" s="4"/>
      <c r="J296" s="3"/>
      <c r="K296" s="3"/>
      <c r="L296" s="3"/>
      <c r="M296" s="3"/>
      <c r="N296" s="3"/>
    </row>
    <row r="297" spans="1:14" ht="15.6" customHeight="1" x14ac:dyDescent="0.3">
      <c r="A297" s="4">
        <v>45668</v>
      </c>
      <c r="B297" s="3" t="s">
        <v>5</v>
      </c>
      <c r="C297" s="3">
        <v>80</v>
      </c>
      <c r="D297" s="3" t="s">
        <v>6</v>
      </c>
      <c r="E297" s="3" t="s">
        <v>7</v>
      </c>
      <c r="I297" s="4"/>
      <c r="J297" s="3"/>
      <c r="K297" s="3"/>
      <c r="L297" s="3"/>
      <c r="M297" s="3"/>
      <c r="N297" s="3"/>
    </row>
    <row r="298" spans="1:14" ht="15.6" customHeight="1" x14ac:dyDescent="0.3">
      <c r="A298" s="4">
        <v>45668</v>
      </c>
      <c r="B298" s="3" t="s">
        <v>5</v>
      </c>
      <c r="C298" s="3">
        <v>60</v>
      </c>
      <c r="D298" s="3" t="s">
        <v>8</v>
      </c>
      <c r="E298" s="3" t="s">
        <v>7</v>
      </c>
      <c r="I298" s="4"/>
      <c r="J298" s="3"/>
      <c r="K298" s="3"/>
      <c r="L298" s="3"/>
      <c r="M298" s="3"/>
      <c r="N298" s="3"/>
    </row>
    <row r="299" spans="1:14" ht="15.6" customHeight="1" x14ac:dyDescent="0.3">
      <c r="A299" s="4">
        <v>45669</v>
      </c>
      <c r="B299" s="3" t="s">
        <v>5</v>
      </c>
      <c r="C299" s="3">
        <v>80</v>
      </c>
      <c r="D299" s="3" t="s">
        <v>8</v>
      </c>
      <c r="E299" s="3" t="s">
        <v>7</v>
      </c>
      <c r="I299" s="4"/>
      <c r="J299" s="3"/>
      <c r="K299" s="3"/>
      <c r="L299" s="3"/>
      <c r="M299" s="3"/>
      <c r="N299" s="3"/>
    </row>
    <row r="300" spans="1:14" ht="15.6" customHeight="1" x14ac:dyDescent="0.3">
      <c r="A300" s="4">
        <v>45669</v>
      </c>
      <c r="B300" s="3" t="s">
        <v>56</v>
      </c>
      <c r="C300" s="3">
        <v>500</v>
      </c>
      <c r="D300" s="3" t="s">
        <v>8</v>
      </c>
      <c r="E300" s="3" t="s">
        <v>7</v>
      </c>
      <c r="I300" s="4"/>
      <c r="J300" s="3"/>
      <c r="K300" s="3"/>
      <c r="L300" s="3"/>
      <c r="M300" s="3"/>
      <c r="N300" s="3"/>
    </row>
    <row r="301" spans="1:14" ht="15.6" customHeight="1" x14ac:dyDescent="0.3">
      <c r="A301" s="4">
        <v>45669</v>
      </c>
      <c r="B301" s="3" t="s">
        <v>5</v>
      </c>
      <c r="C301" s="3">
        <v>60</v>
      </c>
      <c r="D301" s="3" t="s">
        <v>6</v>
      </c>
      <c r="E301" s="3" t="s">
        <v>7</v>
      </c>
      <c r="I301" s="4"/>
      <c r="J301" s="3"/>
      <c r="K301" s="3"/>
      <c r="L301" s="3"/>
      <c r="M301" s="3"/>
      <c r="N301" s="3"/>
    </row>
    <row r="302" spans="1:14" ht="15.6" customHeight="1" x14ac:dyDescent="0.3">
      <c r="A302" s="4">
        <v>45670</v>
      </c>
      <c r="B302" s="3" t="s">
        <v>15</v>
      </c>
      <c r="C302" s="3">
        <v>400</v>
      </c>
      <c r="D302" s="3" t="s">
        <v>8</v>
      </c>
      <c r="E302" s="3" t="s">
        <v>7</v>
      </c>
      <c r="I302" s="4"/>
      <c r="J302" s="3"/>
      <c r="K302" s="3"/>
      <c r="L302" s="3"/>
      <c r="M302" s="3"/>
      <c r="N302" s="3"/>
    </row>
    <row r="303" spans="1:14" ht="15.6" customHeight="1" x14ac:dyDescent="0.3">
      <c r="A303" s="4">
        <v>45670</v>
      </c>
      <c r="B303" s="3" t="s">
        <v>5</v>
      </c>
      <c r="C303" s="3">
        <v>60</v>
      </c>
      <c r="D303" s="3" t="s">
        <v>6</v>
      </c>
      <c r="E303" s="3" t="s">
        <v>7</v>
      </c>
      <c r="I303" s="4"/>
      <c r="J303" s="3"/>
      <c r="K303" s="3"/>
      <c r="L303" s="3"/>
      <c r="M303" s="3"/>
      <c r="N303" s="3"/>
    </row>
    <row r="304" spans="1:14" ht="15.6" customHeight="1" x14ac:dyDescent="0.3">
      <c r="A304" s="4">
        <v>45670</v>
      </c>
      <c r="B304" s="3" t="s">
        <v>14</v>
      </c>
      <c r="C304" s="3">
        <v>700</v>
      </c>
      <c r="D304" s="3" t="s">
        <v>8</v>
      </c>
      <c r="E304" s="3" t="s">
        <v>7</v>
      </c>
      <c r="I304" s="4"/>
      <c r="J304" s="3"/>
      <c r="K304" s="3"/>
      <c r="L304" s="3"/>
      <c r="M304" s="3"/>
      <c r="N304" s="3"/>
    </row>
    <row r="305" spans="1:14" ht="15.6" customHeight="1" x14ac:dyDescent="0.3">
      <c r="A305" s="4">
        <v>45670</v>
      </c>
      <c r="B305" s="3" t="s">
        <v>15</v>
      </c>
      <c r="C305" s="3">
        <v>450</v>
      </c>
      <c r="D305" s="3" t="s">
        <v>6</v>
      </c>
      <c r="E305" s="3" t="s">
        <v>7</v>
      </c>
      <c r="I305" s="4"/>
      <c r="J305" s="3"/>
      <c r="K305" s="3"/>
      <c r="L305" s="3"/>
      <c r="M305" s="3"/>
      <c r="N305" s="3"/>
    </row>
    <row r="306" spans="1:14" ht="15.6" customHeight="1" x14ac:dyDescent="0.3">
      <c r="A306" s="4">
        <v>45670</v>
      </c>
      <c r="B306" s="3" t="s">
        <v>13</v>
      </c>
      <c r="C306" s="3">
        <v>350</v>
      </c>
      <c r="D306" s="3" t="s">
        <v>8</v>
      </c>
      <c r="E306" s="3" t="s">
        <v>7</v>
      </c>
      <c r="I306" s="4"/>
      <c r="J306" s="3"/>
      <c r="K306" s="3"/>
      <c r="L306" s="3"/>
      <c r="M306" s="3"/>
      <c r="N306" s="3"/>
    </row>
    <row r="307" spans="1:14" ht="15.6" customHeight="1" x14ac:dyDescent="0.3">
      <c r="A307" s="4">
        <v>45670</v>
      </c>
      <c r="B307" s="3" t="s">
        <v>47</v>
      </c>
      <c r="C307" s="3">
        <v>1000</v>
      </c>
      <c r="D307" s="3" t="s">
        <v>8</v>
      </c>
      <c r="E307" s="3" t="s">
        <v>7</v>
      </c>
      <c r="I307" s="4"/>
      <c r="J307" s="3"/>
      <c r="K307" s="3"/>
      <c r="L307" s="3"/>
      <c r="M307" s="3"/>
      <c r="N307" s="3"/>
    </row>
    <row r="308" spans="1:14" ht="15.6" customHeight="1" x14ac:dyDescent="0.3">
      <c r="A308" s="4">
        <v>45670</v>
      </c>
      <c r="B308" s="3" t="s">
        <v>18</v>
      </c>
      <c r="C308" s="3">
        <v>350</v>
      </c>
      <c r="D308" s="3" t="s">
        <v>8</v>
      </c>
      <c r="E308" s="3" t="s">
        <v>7</v>
      </c>
      <c r="I308" s="4"/>
      <c r="J308" s="3"/>
      <c r="K308" s="6"/>
      <c r="L308" s="3"/>
      <c r="M308" s="3"/>
      <c r="N308" s="3"/>
    </row>
    <row r="309" spans="1:14" ht="15.6" customHeight="1" x14ac:dyDescent="0.3">
      <c r="A309" s="4">
        <v>45677</v>
      </c>
      <c r="B309" s="3" t="s">
        <v>5</v>
      </c>
      <c r="C309" s="3">
        <v>50</v>
      </c>
      <c r="D309" s="3" t="s">
        <v>8</v>
      </c>
      <c r="E309" s="3" t="s">
        <v>7</v>
      </c>
      <c r="I309" s="4"/>
      <c r="J309" s="3"/>
      <c r="K309" s="6"/>
      <c r="L309" s="3"/>
      <c r="M309" s="3"/>
      <c r="N309" s="3"/>
    </row>
    <row r="310" spans="1:14" ht="15.6" customHeight="1" x14ac:dyDescent="0.3">
      <c r="A310" s="4">
        <v>45677</v>
      </c>
      <c r="B310" s="3" t="s">
        <v>36</v>
      </c>
      <c r="C310" s="3">
        <v>220</v>
      </c>
      <c r="D310" s="3" t="s">
        <v>8</v>
      </c>
      <c r="E310" s="3" t="s">
        <v>7</v>
      </c>
      <c r="I310" s="4"/>
      <c r="J310" s="3"/>
      <c r="K310" s="6"/>
      <c r="L310" s="3"/>
      <c r="M310" s="3"/>
      <c r="N310" s="3"/>
    </row>
    <row r="311" spans="1:14" ht="15.6" customHeight="1" x14ac:dyDescent="0.3">
      <c r="A311" s="4">
        <v>45677</v>
      </c>
      <c r="B311" s="3" t="s">
        <v>34</v>
      </c>
      <c r="C311" s="3">
        <v>700</v>
      </c>
      <c r="D311" s="3" t="s">
        <v>8</v>
      </c>
      <c r="E311" s="3" t="s">
        <v>7</v>
      </c>
      <c r="I311" s="4"/>
      <c r="J311" s="3"/>
      <c r="K311" s="6"/>
      <c r="L311" s="3"/>
      <c r="M311" s="3"/>
      <c r="N311" s="3"/>
    </row>
    <row r="312" spans="1:14" ht="15.6" customHeight="1" x14ac:dyDescent="0.3">
      <c r="A312" s="4">
        <v>45677</v>
      </c>
      <c r="B312" s="3" t="s">
        <v>5</v>
      </c>
      <c r="C312" s="3">
        <v>50</v>
      </c>
      <c r="D312" s="3" t="s">
        <v>8</v>
      </c>
      <c r="E312" s="3" t="s">
        <v>7</v>
      </c>
      <c r="I312" s="4"/>
      <c r="J312" s="3"/>
      <c r="K312" s="3"/>
      <c r="L312" s="3"/>
      <c r="M312" s="3"/>
      <c r="N312" s="3"/>
    </row>
    <row r="313" spans="1:14" ht="15.6" customHeight="1" x14ac:dyDescent="0.3">
      <c r="A313" s="4">
        <v>45678</v>
      </c>
      <c r="B313" s="3" t="s">
        <v>39</v>
      </c>
      <c r="C313" s="3">
        <v>700</v>
      </c>
      <c r="D313" s="3" t="s">
        <v>6</v>
      </c>
      <c r="E313" s="3" t="s">
        <v>7</v>
      </c>
      <c r="I313" s="4"/>
      <c r="J313" s="3"/>
      <c r="K313" s="3"/>
      <c r="L313" s="3"/>
      <c r="M313" s="3"/>
      <c r="N313" s="3"/>
    </row>
    <row r="314" spans="1:14" ht="15.6" customHeight="1" x14ac:dyDescent="0.3">
      <c r="A314" s="4">
        <v>45679</v>
      </c>
      <c r="B314" s="3" t="s">
        <v>15</v>
      </c>
      <c r="C314" s="66">
        <v>1150</v>
      </c>
      <c r="D314" s="3" t="s">
        <v>8</v>
      </c>
      <c r="E314" s="3" t="s">
        <v>7</v>
      </c>
      <c r="I314" s="4"/>
      <c r="J314" s="3"/>
      <c r="K314" s="3"/>
      <c r="L314" s="3"/>
      <c r="M314" s="3"/>
      <c r="N314" s="3"/>
    </row>
    <row r="315" spans="1:14" ht="15.6" customHeight="1" x14ac:dyDescent="0.3">
      <c r="A315" s="4">
        <v>45679</v>
      </c>
      <c r="B315" s="3" t="s">
        <v>15</v>
      </c>
      <c r="C315" s="66"/>
      <c r="D315" s="3" t="s">
        <v>8</v>
      </c>
      <c r="E315" s="3" t="s">
        <v>7</v>
      </c>
      <c r="I315" s="4"/>
      <c r="J315" s="3"/>
      <c r="K315" s="3"/>
      <c r="L315" s="3"/>
      <c r="M315" s="3"/>
      <c r="N315" s="3"/>
    </row>
    <row r="316" spans="1:14" ht="15.6" customHeight="1" x14ac:dyDescent="0.3">
      <c r="A316" s="4">
        <v>45681</v>
      </c>
      <c r="B316" s="3" t="s">
        <v>14</v>
      </c>
      <c r="C316" s="66">
        <v>1950</v>
      </c>
      <c r="D316" s="3" t="s">
        <v>8</v>
      </c>
      <c r="E316" s="3" t="s">
        <v>7</v>
      </c>
      <c r="I316" s="4"/>
      <c r="J316" s="3"/>
      <c r="K316" s="6"/>
      <c r="L316" s="3"/>
      <c r="M316" s="3"/>
      <c r="N316" s="3"/>
    </row>
    <row r="317" spans="1:14" ht="15.6" customHeight="1" x14ac:dyDescent="0.3">
      <c r="A317" s="4">
        <v>45681</v>
      </c>
      <c r="B317" s="3" t="s">
        <v>47</v>
      </c>
      <c r="C317" s="66"/>
      <c r="D317" s="3" t="s">
        <v>8</v>
      </c>
      <c r="E317" s="3" t="s">
        <v>7</v>
      </c>
      <c r="I317" s="4"/>
      <c r="J317" s="3"/>
      <c r="K317" s="6"/>
      <c r="L317" s="3"/>
      <c r="M317" s="3"/>
      <c r="N317" s="3"/>
    </row>
    <row r="318" spans="1:14" ht="15.6" customHeight="1" x14ac:dyDescent="0.3">
      <c r="A318" s="4">
        <v>45683</v>
      </c>
      <c r="B318" s="3" t="s">
        <v>12</v>
      </c>
      <c r="C318" s="3">
        <v>460</v>
      </c>
      <c r="D318" s="3" t="s">
        <v>8</v>
      </c>
      <c r="E318" s="3" t="s">
        <v>7</v>
      </c>
      <c r="I318" s="4"/>
      <c r="J318" s="3"/>
      <c r="K318" s="3"/>
      <c r="L318" s="3"/>
      <c r="M318" s="3"/>
      <c r="N318" s="3"/>
    </row>
    <row r="319" spans="1:14" ht="15.6" customHeight="1" x14ac:dyDescent="0.3">
      <c r="A319" s="4">
        <v>45684</v>
      </c>
      <c r="B319" s="3" t="s">
        <v>5</v>
      </c>
      <c r="C319" s="3">
        <v>50</v>
      </c>
      <c r="D319" s="3" t="s">
        <v>8</v>
      </c>
      <c r="E319" s="3" t="s">
        <v>7</v>
      </c>
      <c r="I319" s="4"/>
      <c r="J319" s="3"/>
      <c r="K319" s="3"/>
      <c r="L319" s="3"/>
      <c r="M319" s="3"/>
      <c r="N319" s="3"/>
    </row>
    <row r="320" spans="1:14" ht="15.6" customHeight="1" x14ac:dyDescent="0.3">
      <c r="A320" s="4">
        <v>45685</v>
      </c>
      <c r="B320" s="3" t="s">
        <v>56</v>
      </c>
      <c r="C320" s="3">
        <v>1500</v>
      </c>
      <c r="D320" s="3" t="s">
        <v>8</v>
      </c>
      <c r="E320" s="3" t="s">
        <v>7</v>
      </c>
      <c r="I320" s="4"/>
      <c r="J320" s="3"/>
      <c r="K320" s="3"/>
      <c r="L320" s="3"/>
      <c r="M320" s="3"/>
      <c r="N320" s="3"/>
    </row>
    <row r="321" spans="1:14" ht="15.6" customHeight="1" x14ac:dyDescent="0.3">
      <c r="A321" s="4">
        <v>45687</v>
      </c>
      <c r="B321" s="3" t="s">
        <v>5</v>
      </c>
      <c r="C321" s="3">
        <v>80</v>
      </c>
      <c r="D321" s="3" t="s">
        <v>6</v>
      </c>
      <c r="E321" s="3" t="s">
        <v>7</v>
      </c>
      <c r="I321" s="4"/>
      <c r="J321" s="3"/>
      <c r="K321" s="3"/>
      <c r="L321" s="3"/>
      <c r="M321" s="3"/>
      <c r="N321" s="3"/>
    </row>
    <row r="322" spans="1:14" ht="15.6" customHeight="1" x14ac:dyDescent="0.3">
      <c r="A322" s="4">
        <v>45689</v>
      </c>
      <c r="B322" s="3" t="s">
        <v>5</v>
      </c>
      <c r="C322" s="3">
        <v>60</v>
      </c>
      <c r="D322" s="3" t="s">
        <v>8</v>
      </c>
      <c r="E322" s="3" t="s">
        <v>7</v>
      </c>
      <c r="I322" s="4"/>
      <c r="J322" s="3"/>
      <c r="K322" s="3"/>
      <c r="L322" s="3"/>
      <c r="M322" s="3"/>
      <c r="N322" s="3"/>
    </row>
    <row r="323" spans="1:14" ht="15.6" customHeight="1" x14ac:dyDescent="0.3">
      <c r="A323" s="4">
        <v>45690</v>
      </c>
      <c r="B323" s="3" t="s">
        <v>20</v>
      </c>
      <c r="C323" s="3">
        <v>900</v>
      </c>
      <c r="D323" s="3" t="s">
        <v>8</v>
      </c>
      <c r="E323" s="3" t="s">
        <v>7</v>
      </c>
      <c r="I323" s="4"/>
      <c r="J323" s="3"/>
      <c r="K323" s="3"/>
      <c r="L323" s="3"/>
      <c r="M323" s="3"/>
      <c r="N323" s="3"/>
    </row>
    <row r="324" spans="1:14" ht="15.6" customHeight="1" x14ac:dyDescent="0.3">
      <c r="A324" s="4">
        <v>45690</v>
      </c>
      <c r="B324" s="3" t="s">
        <v>9</v>
      </c>
      <c r="C324" s="3">
        <v>3000</v>
      </c>
      <c r="D324" s="3" t="s">
        <v>6</v>
      </c>
      <c r="E324" s="3" t="s">
        <v>7</v>
      </c>
      <c r="I324" s="4"/>
      <c r="J324" s="3"/>
      <c r="K324" s="3"/>
      <c r="L324" s="3"/>
      <c r="M324" s="3"/>
      <c r="N324" s="3"/>
    </row>
    <row r="325" spans="1:14" ht="15.6" customHeight="1" x14ac:dyDescent="0.3">
      <c r="A325" s="4">
        <v>45690</v>
      </c>
      <c r="B325" s="3" t="s">
        <v>11</v>
      </c>
      <c r="C325" s="3">
        <v>300</v>
      </c>
      <c r="D325" s="3" t="s">
        <v>8</v>
      </c>
      <c r="E325" s="3" t="s">
        <v>7</v>
      </c>
      <c r="I325" s="4"/>
      <c r="J325" s="3"/>
      <c r="K325" s="3"/>
      <c r="L325" s="3"/>
      <c r="M325" s="3"/>
      <c r="N325" s="3"/>
    </row>
    <row r="326" spans="1:14" ht="15.6" customHeight="1" x14ac:dyDescent="0.3">
      <c r="A326" s="4">
        <v>45691</v>
      </c>
      <c r="B326" s="3" t="s">
        <v>5</v>
      </c>
      <c r="C326" s="3">
        <v>60</v>
      </c>
      <c r="D326" s="3" t="s">
        <v>8</v>
      </c>
      <c r="E326" s="3" t="s">
        <v>7</v>
      </c>
      <c r="I326" s="4"/>
      <c r="J326" s="3"/>
      <c r="K326" s="3"/>
      <c r="L326" s="3"/>
      <c r="M326" s="3"/>
      <c r="N326" s="3"/>
    </row>
    <row r="327" spans="1:14" ht="15.6" customHeight="1" x14ac:dyDescent="0.3">
      <c r="A327" s="4">
        <v>45691</v>
      </c>
      <c r="B327" s="3" t="s">
        <v>36</v>
      </c>
      <c r="C327" s="3">
        <v>120</v>
      </c>
      <c r="D327" s="3" t="s">
        <v>8</v>
      </c>
      <c r="E327" s="3" t="s">
        <v>7</v>
      </c>
      <c r="I327" s="4"/>
      <c r="J327" s="3"/>
      <c r="K327" s="3"/>
      <c r="L327" s="3"/>
      <c r="M327" s="3"/>
      <c r="N327" s="3"/>
    </row>
    <row r="328" spans="1:14" ht="15.6" customHeight="1" x14ac:dyDescent="0.3">
      <c r="A328" s="4">
        <v>45691</v>
      </c>
      <c r="B328" s="3" t="s">
        <v>5</v>
      </c>
      <c r="C328" s="3">
        <v>60</v>
      </c>
      <c r="D328" s="3" t="s">
        <v>8</v>
      </c>
      <c r="E328" s="3" t="s">
        <v>7</v>
      </c>
      <c r="I328" s="4"/>
      <c r="J328" s="3"/>
      <c r="K328" s="3"/>
      <c r="L328" s="3"/>
      <c r="M328" s="3"/>
      <c r="N328" s="3"/>
    </row>
    <row r="329" spans="1:14" ht="15.6" customHeight="1" x14ac:dyDescent="0.3">
      <c r="A329" s="4">
        <v>45692</v>
      </c>
      <c r="B329" s="3" t="s">
        <v>58</v>
      </c>
      <c r="C329" s="3">
        <v>200</v>
      </c>
      <c r="D329" s="3" t="s">
        <v>6</v>
      </c>
      <c r="E329" s="3" t="s">
        <v>7</v>
      </c>
      <c r="I329" s="4"/>
      <c r="J329" s="3"/>
      <c r="K329" s="3"/>
      <c r="L329" s="3"/>
      <c r="M329" s="3"/>
      <c r="N329" s="3"/>
    </row>
    <row r="330" spans="1:14" ht="15.6" customHeight="1" x14ac:dyDescent="0.3">
      <c r="A330" s="4">
        <v>45692</v>
      </c>
      <c r="B330" s="3" t="s">
        <v>5</v>
      </c>
      <c r="C330" s="3">
        <v>60</v>
      </c>
      <c r="D330" s="3" t="s">
        <v>6</v>
      </c>
      <c r="E330" s="3" t="s">
        <v>7</v>
      </c>
      <c r="I330" s="4"/>
      <c r="J330" s="3"/>
      <c r="K330" s="3"/>
      <c r="L330" s="3"/>
      <c r="M330" s="3"/>
      <c r="N330" s="3"/>
    </row>
    <row r="331" spans="1:14" ht="15.6" customHeight="1" x14ac:dyDescent="0.3">
      <c r="A331" s="4">
        <v>45692</v>
      </c>
      <c r="B331" s="3" t="s">
        <v>39</v>
      </c>
      <c r="C331" s="3">
        <v>630</v>
      </c>
      <c r="D331" s="3" t="s">
        <v>8</v>
      </c>
      <c r="E331" s="3" t="s">
        <v>7</v>
      </c>
      <c r="I331" s="4"/>
      <c r="J331" s="3"/>
      <c r="K331" s="3"/>
      <c r="L331" s="3"/>
      <c r="M331" s="3"/>
      <c r="N331" s="3"/>
    </row>
    <row r="332" spans="1:14" ht="15.6" customHeight="1" x14ac:dyDescent="0.3">
      <c r="A332" s="4">
        <v>45693</v>
      </c>
      <c r="B332" s="3" t="s">
        <v>39</v>
      </c>
      <c r="C332" s="3">
        <v>1000</v>
      </c>
      <c r="D332" s="3" t="s">
        <v>8</v>
      </c>
      <c r="E332" s="3" t="s">
        <v>7</v>
      </c>
      <c r="I332" s="4"/>
      <c r="J332" s="3"/>
      <c r="K332" s="3"/>
      <c r="L332" s="3"/>
      <c r="M332" s="3"/>
      <c r="N332" s="3"/>
    </row>
    <row r="333" spans="1:14" ht="15.6" customHeight="1" x14ac:dyDescent="0.3">
      <c r="A333" s="4">
        <v>45693</v>
      </c>
      <c r="B333" s="3" t="s">
        <v>44</v>
      </c>
      <c r="C333" s="3">
        <v>600</v>
      </c>
      <c r="D333" s="3" t="s">
        <v>8</v>
      </c>
      <c r="E333" s="3" t="s">
        <v>7</v>
      </c>
      <c r="I333" s="4"/>
      <c r="J333" s="3"/>
      <c r="K333" s="3"/>
      <c r="L333" s="3"/>
      <c r="M333" s="3"/>
      <c r="N333" s="3"/>
    </row>
    <row r="334" spans="1:14" ht="15.6" customHeight="1" x14ac:dyDescent="0.3">
      <c r="A334" s="4">
        <v>45694</v>
      </c>
      <c r="B334" s="3" t="s">
        <v>14</v>
      </c>
      <c r="C334" s="3">
        <v>960</v>
      </c>
      <c r="D334" s="3" t="s">
        <v>8</v>
      </c>
      <c r="E334" s="3" t="s">
        <v>7</v>
      </c>
      <c r="I334" s="4"/>
      <c r="J334" s="3"/>
      <c r="K334" s="3"/>
      <c r="L334" s="3"/>
      <c r="M334" s="3"/>
      <c r="N334" s="3"/>
    </row>
    <row r="335" spans="1:14" ht="15.6" customHeight="1" x14ac:dyDescent="0.3">
      <c r="A335" s="4">
        <v>45694</v>
      </c>
      <c r="B335" s="3" t="s">
        <v>39</v>
      </c>
      <c r="C335" s="3">
        <v>1000</v>
      </c>
      <c r="D335" s="3" t="s">
        <v>8</v>
      </c>
      <c r="E335" s="3" t="s">
        <v>7</v>
      </c>
      <c r="I335" s="4"/>
      <c r="J335" s="3"/>
      <c r="K335" s="3"/>
      <c r="L335" s="3"/>
      <c r="M335" s="3"/>
      <c r="N335" s="3"/>
    </row>
    <row r="336" spans="1:14" ht="15.6" customHeight="1" x14ac:dyDescent="0.3">
      <c r="A336" s="4">
        <v>45694</v>
      </c>
      <c r="B336" s="3" t="s">
        <v>5</v>
      </c>
      <c r="C336" s="3">
        <v>80</v>
      </c>
      <c r="D336" s="3" t="s">
        <v>6</v>
      </c>
      <c r="E336" s="3" t="s">
        <v>7</v>
      </c>
      <c r="I336" s="4"/>
      <c r="J336" s="3"/>
      <c r="K336" s="3"/>
      <c r="L336" s="3"/>
      <c r="M336" s="3"/>
      <c r="N336" s="3"/>
    </row>
    <row r="337" spans="1:14" ht="15.6" customHeight="1" x14ac:dyDescent="0.3">
      <c r="A337" s="4">
        <v>45699</v>
      </c>
      <c r="B337" s="3" t="s">
        <v>5</v>
      </c>
      <c r="C337" s="3">
        <v>60</v>
      </c>
      <c r="D337" s="3" t="s">
        <v>6</v>
      </c>
      <c r="E337" s="3" t="s">
        <v>7</v>
      </c>
      <c r="I337" s="4"/>
      <c r="J337" s="3"/>
      <c r="K337" s="3"/>
      <c r="L337" s="3"/>
      <c r="M337" s="3"/>
      <c r="N337" s="3"/>
    </row>
    <row r="338" spans="1:14" ht="15.6" customHeight="1" x14ac:dyDescent="0.3">
      <c r="A338" s="4">
        <v>45699</v>
      </c>
      <c r="B338" s="3" t="s">
        <v>5</v>
      </c>
      <c r="C338" s="3">
        <v>90</v>
      </c>
      <c r="D338" s="3" t="s">
        <v>6</v>
      </c>
      <c r="E338" s="3" t="s">
        <v>7</v>
      </c>
      <c r="I338" s="4"/>
      <c r="J338" s="3"/>
      <c r="K338" s="3"/>
      <c r="L338" s="3"/>
      <c r="M338" s="3"/>
      <c r="N338" s="3"/>
    </row>
    <row r="339" spans="1:14" ht="15.6" customHeight="1" x14ac:dyDescent="0.3">
      <c r="A339" s="4">
        <v>45700</v>
      </c>
      <c r="B339" s="3" t="s">
        <v>5</v>
      </c>
      <c r="C339" s="3">
        <v>80</v>
      </c>
      <c r="D339" s="3" t="s">
        <v>6</v>
      </c>
      <c r="E339" s="3" t="s">
        <v>7</v>
      </c>
      <c r="I339" s="4"/>
      <c r="J339" s="3"/>
      <c r="K339" s="3"/>
      <c r="L339" s="3"/>
      <c r="M339" s="3"/>
      <c r="N339" s="3"/>
    </row>
    <row r="340" spans="1:14" ht="15.6" customHeight="1" x14ac:dyDescent="0.3">
      <c r="A340" s="4">
        <v>45701</v>
      </c>
      <c r="B340" s="3" t="s">
        <v>44</v>
      </c>
      <c r="C340" s="3">
        <v>400</v>
      </c>
      <c r="D340" s="3" t="s">
        <v>8</v>
      </c>
      <c r="E340" s="3" t="s">
        <v>7</v>
      </c>
      <c r="I340" s="4"/>
      <c r="J340" s="3"/>
      <c r="K340" s="3"/>
      <c r="L340" s="3"/>
      <c r="M340" s="3"/>
      <c r="N340" s="3"/>
    </row>
    <row r="341" spans="1:14" ht="15.6" customHeight="1" x14ac:dyDescent="0.3">
      <c r="A341" s="4">
        <v>45703</v>
      </c>
      <c r="B341" s="3" t="s">
        <v>29</v>
      </c>
      <c r="C341" s="3">
        <v>400</v>
      </c>
      <c r="D341" s="3" t="s">
        <v>8</v>
      </c>
      <c r="E341" s="3" t="s">
        <v>7</v>
      </c>
      <c r="I341" s="4"/>
      <c r="J341" s="3"/>
      <c r="K341" s="3"/>
      <c r="L341" s="3"/>
      <c r="M341" s="3"/>
      <c r="N341" s="3"/>
    </row>
    <row r="342" spans="1:14" ht="15.6" customHeight="1" x14ac:dyDescent="0.3">
      <c r="A342" s="4">
        <v>45703</v>
      </c>
      <c r="B342" s="3" t="s">
        <v>56</v>
      </c>
      <c r="C342" s="3">
        <v>500</v>
      </c>
      <c r="D342" s="3" t="s">
        <v>8</v>
      </c>
      <c r="E342" s="3" t="s">
        <v>7</v>
      </c>
      <c r="I342" s="4"/>
      <c r="J342" s="3"/>
      <c r="K342" s="3"/>
      <c r="L342" s="3"/>
      <c r="M342" s="3"/>
      <c r="N342" s="3"/>
    </row>
    <row r="343" spans="1:14" ht="15.6" customHeight="1" x14ac:dyDescent="0.3">
      <c r="A343" s="4">
        <v>45703</v>
      </c>
      <c r="B343" s="3" t="s">
        <v>5</v>
      </c>
      <c r="C343" s="3">
        <v>60</v>
      </c>
      <c r="D343" s="3" t="s">
        <v>8</v>
      </c>
      <c r="E343" s="3" t="s">
        <v>7</v>
      </c>
      <c r="I343" s="4"/>
      <c r="J343" s="3"/>
      <c r="K343" s="6"/>
      <c r="L343" s="3"/>
      <c r="M343" s="3"/>
      <c r="N343" s="3"/>
    </row>
    <row r="344" spans="1:14" ht="15.6" customHeight="1" x14ac:dyDescent="0.3">
      <c r="A344" s="4">
        <v>45706</v>
      </c>
      <c r="B344" s="3" t="s">
        <v>30</v>
      </c>
      <c r="C344" s="3">
        <v>200</v>
      </c>
      <c r="D344" s="3" t="s">
        <v>8</v>
      </c>
      <c r="E344" s="3" t="s">
        <v>7</v>
      </c>
      <c r="I344" s="4"/>
      <c r="J344" s="3"/>
      <c r="K344" s="6"/>
      <c r="L344" s="3"/>
      <c r="M344" s="3"/>
      <c r="N344" s="3"/>
    </row>
    <row r="345" spans="1:14" ht="15.6" customHeight="1" x14ac:dyDescent="0.3">
      <c r="A345" s="4">
        <v>45707</v>
      </c>
      <c r="B345" s="3" t="s">
        <v>5</v>
      </c>
      <c r="C345" s="3">
        <v>60</v>
      </c>
      <c r="D345" s="3" t="s">
        <v>8</v>
      </c>
      <c r="E345" s="3" t="s">
        <v>7</v>
      </c>
      <c r="I345" s="4"/>
      <c r="J345" s="3"/>
      <c r="K345" s="6"/>
      <c r="L345" s="3"/>
      <c r="M345" s="3"/>
      <c r="N345" s="3"/>
    </row>
    <row r="346" spans="1:14" ht="15.6" customHeight="1" x14ac:dyDescent="0.3">
      <c r="A346" s="4">
        <v>45707</v>
      </c>
      <c r="B346" s="3" t="s">
        <v>14</v>
      </c>
      <c r="C346" s="3">
        <v>700</v>
      </c>
      <c r="D346" s="3" t="s">
        <v>8</v>
      </c>
      <c r="E346" s="3" t="s">
        <v>7</v>
      </c>
      <c r="I346" s="4"/>
      <c r="J346" s="3"/>
      <c r="K346" s="6"/>
      <c r="L346" s="3"/>
      <c r="M346" s="3"/>
      <c r="N346" s="3"/>
    </row>
    <row r="347" spans="1:14" ht="15.6" customHeight="1" x14ac:dyDescent="0.3">
      <c r="A347" s="4">
        <v>45707</v>
      </c>
      <c r="B347" s="3" t="s">
        <v>15</v>
      </c>
      <c r="C347" s="3">
        <v>500</v>
      </c>
      <c r="D347" s="3" t="s">
        <v>8</v>
      </c>
      <c r="E347" s="3" t="s">
        <v>7</v>
      </c>
      <c r="I347" s="4"/>
      <c r="J347" s="3"/>
      <c r="K347" s="3"/>
      <c r="L347" s="3"/>
      <c r="M347" s="3"/>
      <c r="N347" s="3"/>
    </row>
    <row r="348" spans="1:14" ht="15.6" customHeight="1" x14ac:dyDescent="0.3">
      <c r="A348" s="4">
        <v>45709</v>
      </c>
      <c r="B348" s="3" t="s">
        <v>36</v>
      </c>
      <c r="C348" s="3">
        <v>120</v>
      </c>
      <c r="D348" s="3" t="s">
        <v>8</v>
      </c>
      <c r="E348" s="3" t="s">
        <v>7</v>
      </c>
      <c r="I348" s="4"/>
      <c r="J348" s="3"/>
      <c r="K348" s="6"/>
      <c r="L348" s="6"/>
      <c r="M348" s="3"/>
      <c r="N348" s="3"/>
    </row>
    <row r="349" spans="1:14" ht="15.6" customHeight="1" x14ac:dyDescent="0.3">
      <c r="A349" s="4">
        <v>45709</v>
      </c>
      <c r="B349" s="3" t="s">
        <v>5</v>
      </c>
      <c r="C349" s="3">
        <v>80</v>
      </c>
      <c r="D349" s="3" t="s">
        <v>8</v>
      </c>
      <c r="E349" s="3" t="s">
        <v>7</v>
      </c>
      <c r="I349" s="4"/>
      <c r="J349" s="3"/>
      <c r="K349" s="6"/>
      <c r="L349" s="6"/>
      <c r="M349" s="3"/>
      <c r="N349" s="3"/>
    </row>
    <row r="350" spans="1:14" ht="15.6" customHeight="1" x14ac:dyDescent="0.3">
      <c r="A350" s="4">
        <v>45709</v>
      </c>
      <c r="B350" s="3" t="s">
        <v>39</v>
      </c>
      <c r="C350" s="66">
        <v>920</v>
      </c>
      <c r="D350" s="3" t="s">
        <v>8</v>
      </c>
      <c r="E350" s="3" t="s">
        <v>7</v>
      </c>
      <c r="I350" s="4"/>
      <c r="J350" s="3"/>
      <c r="K350" s="6"/>
      <c r="L350" s="6"/>
      <c r="M350" s="3"/>
      <c r="N350" s="3"/>
    </row>
    <row r="351" spans="1:14" ht="15.6" customHeight="1" x14ac:dyDescent="0.3">
      <c r="A351" s="4">
        <v>45709</v>
      </c>
      <c r="B351" s="3" t="s">
        <v>5</v>
      </c>
      <c r="C351" s="66"/>
      <c r="D351" s="3" t="s">
        <v>8</v>
      </c>
      <c r="E351" s="3" t="s">
        <v>7</v>
      </c>
      <c r="I351" s="4"/>
      <c r="J351" s="3"/>
      <c r="K351" s="3"/>
      <c r="L351" s="3"/>
      <c r="M351" s="3"/>
      <c r="N351" s="3"/>
    </row>
    <row r="352" spans="1:14" ht="15.6" customHeight="1" x14ac:dyDescent="0.3">
      <c r="A352" s="4">
        <v>45710</v>
      </c>
      <c r="B352" s="3" t="s">
        <v>5</v>
      </c>
      <c r="C352" s="3">
        <v>60</v>
      </c>
      <c r="D352" s="3" t="s">
        <v>6</v>
      </c>
      <c r="E352" s="3" t="s">
        <v>7</v>
      </c>
      <c r="I352" s="4"/>
      <c r="J352" s="3"/>
      <c r="K352" s="3"/>
      <c r="L352" s="3"/>
      <c r="M352" s="3"/>
      <c r="N352" s="3"/>
    </row>
    <row r="353" spans="1:14" ht="15.6" customHeight="1" x14ac:dyDescent="0.3">
      <c r="A353" s="4">
        <v>45710</v>
      </c>
      <c r="B353" s="3" t="s">
        <v>5</v>
      </c>
      <c r="C353" s="3">
        <v>60</v>
      </c>
      <c r="D353" s="3" t="s">
        <v>8</v>
      </c>
      <c r="E353" s="3" t="s">
        <v>7</v>
      </c>
      <c r="I353" s="4"/>
      <c r="J353" s="3"/>
      <c r="K353" s="3"/>
      <c r="L353" s="3"/>
      <c r="M353" s="3"/>
      <c r="N353" s="3"/>
    </row>
    <row r="354" spans="1:14" ht="15.6" customHeight="1" x14ac:dyDescent="0.3">
      <c r="A354" s="4">
        <v>45712</v>
      </c>
      <c r="B354" s="3" t="s">
        <v>36</v>
      </c>
      <c r="C354" s="3">
        <v>220</v>
      </c>
      <c r="D354" s="3" t="s">
        <v>8</v>
      </c>
      <c r="E354" s="3" t="s">
        <v>7</v>
      </c>
      <c r="I354" s="4"/>
      <c r="J354" s="3"/>
      <c r="K354" s="3"/>
      <c r="L354" s="3"/>
      <c r="M354" s="3"/>
      <c r="N354" s="3"/>
    </row>
    <row r="355" spans="1:14" ht="15.6" customHeight="1" x14ac:dyDescent="0.3">
      <c r="A355" s="4">
        <v>45713</v>
      </c>
      <c r="B355" s="3" t="s">
        <v>14</v>
      </c>
      <c r="C355" s="3">
        <v>700</v>
      </c>
      <c r="D355" s="3" t="s">
        <v>8</v>
      </c>
      <c r="E355" s="3" t="s">
        <v>7</v>
      </c>
      <c r="I355" s="4"/>
      <c r="J355" s="3"/>
      <c r="K355" s="3"/>
      <c r="L355" s="3"/>
      <c r="M355" s="3"/>
      <c r="N355" s="3"/>
    </row>
    <row r="356" spans="1:14" ht="15.6" customHeight="1" x14ac:dyDescent="0.3">
      <c r="A356" s="4">
        <v>45714</v>
      </c>
      <c r="B356" s="3" t="s">
        <v>30</v>
      </c>
      <c r="C356" s="3">
        <v>500</v>
      </c>
      <c r="D356" s="3" t="s">
        <v>8</v>
      </c>
      <c r="E356" s="3" t="s">
        <v>7</v>
      </c>
      <c r="I356" s="4"/>
      <c r="J356" s="3"/>
      <c r="K356" s="3"/>
      <c r="L356" s="3"/>
      <c r="M356" s="3"/>
      <c r="N356" s="3"/>
    </row>
    <row r="357" spans="1:14" ht="15.6" customHeight="1" x14ac:dyDescent="0.3">
      <c r="A357" s="4">
        <v>45714</v>
      </c>
      <c r="B357" s="3" t="s">
        <v>5</v>
      </c>
      <c r="C357" s="3">
        <v>50</v>
      </c>
      <c r="D357" s="3" t="s">
        <v>6</v>
      </c>
      <c r="E357" s="3" t="s">
        <v>7</v>
      </c>
      <c r="I357" s="4"/>
      <c r="J357" s="3"/>
      <c r="K357" s="3"/>
      <c r="L357" s="3"/>
      <c r="M357" s="3"/>
      <c r="N357" s="3"/>
    </row>
    <row r="358" spans="1:14" ht="15.6" customHeight="1" x14ac:dyDescent="0.3">
      <c r="A358" s="4">
        <v>45716</v>
      </c>
      <c r="B358" s="3" t="s">
        <v>14</v>
      </c>
      <c r="C358" s="3">
        <v>900</v>
      </c>
      <c r="D358" s="3" t="s">
        <v>8</v>
      </c>
      <c r="E358" s="3" t="s">
        <v>7</v>
      </c>
      <c r="I358" s="4"/>
      <c r="J358" s="3"/>
      <c r="K358" s="3"/>
      <c r="L358" s="3"/>
      <c r="M358" s="3"/>
      <c r="N358" s="3"/>
    </row>
    <row r="359" spans="1:14" ht="15.6" customHeight="1" x14ac:dyDescent="0.3">
      <c r="A359" s="4">
        <v>45691</v>
      </c>
      <c r="B359" s="3" t="s">
        <v>59</v>
      </c>
      <c r="C359" s="3">
        <v>300</v>
      </c>
      <c r="D359" s="3" t="s">
        <v>6</v>
      </c>
      <c r="E359" s="3" t="s">
        <v>60</v>
      </c>
      <c r="I359" s="4"/>
      <c r="J359" s="3"/>
      <c r="K359" s="6"/>
      <c r="L359" s="3"/>
      <c r="M359" s="3"/>
      <c r="N359" s="3"/>
    </row>
    <row r="360" spans="1:14" ht="15.6" customHeight="1" x14ac:dyDescent="0.3">
      <c r="A360" s="4">
        <v>45692</v>
      </c>
      <c r="B360" s="3" t="s">
        <v>61</v>
      </c>
      <c r="C360" s="3">
        <v>300</v>
      </c>
      <c r="D360" s="3" t="s">
        <v>6</v>
      </c>
      <c r="E360" s="3" t="s">
        <v>60</v>
      </c>
      <c r="I360" s="4"/>
      <c r="J360" s="3"/>
      <c r="K360" s="3"/>
      <c r="L360" s="3"/>
      <c r="M360" s="3"/>
      <c r="N360" s="3"/>
    </row>
    <row r="361" spans="1:14" ht="15.6" customHeight="1" x14ac:dyDescent="0.3">
      <c r="A361" s="4">
        <v>45694</v>
      </c>
      <c r="B361" s="3" t="s">
        <v>62</v>
      </c>
      <c r="C361" s="3">
        <v>1000</v>
      </c>
      <c r="D361" s="3" t="s">
        <v>6</v>
      </c>
      <c r="E361" s="3" t="s">
        <v>60</v>
      </c>
      <c r="I361" s="4"/>
      <c r="J361" s="3"/>
      <c r="K361" s="3"/>
      <c r="L361" s="3"/>
      <c r="M361" s="3"/>
      <c r="N361" s="3"/>
    </row>
    <row r="362" spans="1:14" ht="15.6" customHeight="1" x14ac:dyDescent="0.3">
      <c r="A362" s="4">
        <v>45694</v>
      </c>
      <c r="B362" s="3" t="s">
        <v>63</v>
      </c>
      <c r="C362" s="3">
        <v>400</v>
      </c>
      <c r="D362" s="3" t="s">
        <v>6</v>
      </c>
      <c r="E362" s="3" t="s">
        <v>60</v>
      </c>
      <c r="I362" s="4"/>
      <c r="J362" s="3"/>
      <c r="K362" s="3"/>
      <c r="L362" s="3"/>
      <c r="M362" s="3"/>
      <c r="N362" s="3"/>
    </row>
    <row r="363" spans="1:14" ht="15.6" customHeight="1" x14ac:dyDescent="0.3">
      <c r="A363" s="4">
        <v>45695</v>
      </c>
      <c r="B363" s="3" t="s">
        <v>59</v>
      </c>
      <c r="C363" s="3">
        <v>90</v>
      </c>
      <c r="D363" s="3" t="s">
        <v>6</v>
      </c>
      <c r="E363" s="3" t="s">
        <v>60</v>
      </c>
      <c r="I363" s="4"/>
      <c r="J363" s="3"/>
      <c r="K363" s="3"/>
      <c r="L363" s="3"/>
      <c r="M363" s="3"/>
      <c r="N363" s="3"/>
    </row>
    <row r="364" spans="1:14" ht="15.6" customHeight="1" x14ac:dyDescent="0.3">
      <c r="A364" s="4">
        <v>45696</v>
      </c>
      <c r="B364" s="3" t="s">
        <v>64</v>
      </c>
      <c r="C364" s="3">
        <v>4000</v>
      </c>
      <c r="D364" s="3" t="s">
        <v>6</v>
      </c>
      <c r="E364" s="3" t="s">
        <v>60</v>
      </c>
      <c r="I364" s="4"/>
      <c r="J364" s="3"/>
      <c r="K364" s="3"/>
      <c r="L364" s="3"/>
      <c r="M364" s="3"/>
      <c r="N364" s="3"/>
    </row>
    <row r="365" spans="1:14" ht="15.6" customHeight="1" x14ac:dyDescent="0.3">
      <c r="A365" s="4">
        <v>45697</v>
      </c>
      <c r="B365" s="3" t="s">
        <v>65</v>
      </c>
      <c r="C365" s="3">
        <v>800</v>
      </c>
      <c r="D365" s="3" t="s">
        <v>6</v>
      </c>
      <c r="E365" s="3" t="s">
        <v>60</v>
      </c>
      <c r="I365" s="4"/>
      <c r="J365" s="3"/>
      <c r="K365" s="6"/>
      <c r="L365" s="3"/>
      <c r="M365" s="3"/>
      <c r="N365" s="3"/>
    </row>
    <row r="366" spans="1:14" ht="15.6" customHeight="1" x14ac:dyDescent="0.3">
      <c r="A366" s="4">
        <v>45698</v>
      </c>
      <c r="B366" s="3" t="s">
        <v>66</v>
      </c>
      <c r="C366" s="3">
        <v>800</v>
      </c>
      <c r="D366" s="3" t="s">
        <v>6</v>
      </c>
      <c r="E366" s="3" t="s">
        <v>60</v>
      </c>
      <c r="I366" s="4"/>
      <c r="J366" s="3"/>
      <c r="K366" s="6"/>
      <c r="L366" s="3"/>
      <c r="M366" s="3"/>
      <c r="N366" s="3"/>
    </row>
    <row r="367" spans="1:14" ht="15.6" customHeight="1" x14ac:dyDescent="0.3">
      <c r="A367" s="4">
        <v>45699</v>
      </c>
      <c r="B367" s="3" t="s">
        <v>67</v>
      </c>
      <c r="C367" s="3">
        <v>2000</v>
      </c>
      <c r="D367" s="3" t="s">
        <v>6</v>
      </c>
      <c r="E367" s="3" t="s">
        <v>60</v>
      </c>
      <c r="I367" s="4"/>
      <c r="J367" s="3"/>
      <c r="K367" s="3"/>
      <c r="L367" s="3"/>
      <c r="M367" s="3"/>
      <c r="N367" s="3"/>
    </row>
    <row r="368" spans="1:14" ht="15.6" customHeight="1" x14ac:dyDescent="0.3">
      <c r="A368" s="4">
        <v>45699</v>
      </c>
      <c r="B368" s="3" t="s">
        <v>68</v>
      </c>
      <c r="C368" s="3">
        <v>300</v>
      </c>
      <c r="D368" s="3" t="s">
        <v>6</v>
      </c>
      <c r="E368" s="3" t="s">
        <v>60</v>
      </c>
      <c r="I368" s="4"/>
      <c r="J368" s="3"/>
      <c r="K368" s="3"/>
      <c r="L368" s="3"/>
      <c r="M368" s="3"/>
      <c r="N368" s="3"/>
    </row>
    <row r="369" spans="1:14" ht="15.6" customHeight="1" x14ac:dyDescent="0.3">
      <c r="A369" s="4">
        <v>45699</v>
      </c>
      <c r="B369" s="3" t="s">
        <v>69</v>
      </c>
      <c r="C369" s="3">
        <v>350</v>
      </c>
      <c r="D369" s="3" t="s">
        <v>6</v>
      </c>
      <c r="E369" s="3" t="s">
        <v>60</v>
      </c>
      <c r="I369" s="4"/>
      <c r="J369" s="3"/>
      <c r="K369" s="3"/>
      <c r="L369" s="3"/>
      <c r="M369" s="3"/>
      <c r="N369" s="3"/>
    </row>
    <row r="370" spans="1:14" ht="15.6" customHeight="1" x14ac:dyDescent="0.3">
      <c r="A370" s="4">
        <v>45699</v>
      </c>
      <c r="B370" s="3" t="s">
        <v>65</v>
      </c>
      <c r="C370" s="3">
        <v>600</v>
      </c>
      <c r="D370" s="3" t="s">
        <v>6</v>
      </c>
      <c r="E370" s="3" t="s">
        <v>60</v>
      </c>
      <c r="I370" s="4"/>
      <c r="J370" s="3"/>
      <c r="K370" s="3"/>
      <c r="L370" s="3"/>
      <c r="M370" s="3"/>
      <c r="N370" s="3"/>
    </row>
    <row r="371" spans="1:14" ht="15.6" customHeight="1" x14ac:dyDescent="0.3">
      <c r="A371" s="4">
        <v>45701</v>
      </c>
      <c r="B371" s="3" t="s">
        <v>70</v>
      </c>
      <c r="C371" s="3">
        <v>80</v>
      </c>
      <c r="D371" s="3" t="s">
        <v>6</v>
      </c>
      <c r="E371" s="3" t="s">
        <v>60</v>
      </c>
      <c r="I371" s="4"/>
      <c r="J371" s="3"/>
      <c r="K371" s="3"/>
      <c r="L371" s="3"/>
      <c r="M371" s="3"/>
      <c r="N371" s="3"/>
    </row>
    <row r="372" spans="1:14" ht="15.6" customHeight="1" x14ac:dyDescent="0.3">
      <c r="A372" s="4">
        <v>45703</v>
      </c>
      <c r="B372" s="3" t="s">
        <v>59</v>
      </c>
      <c r="C372" s="3">
        <v>80</v>
      </c>
      <c r="D372" s="3" t="s">
        <v>6</v>
      </c>
      <c r="E372" s="3" t="s">
        <v>60</v>
      </c>
      <c r="I372" s="4"/>
      <c r="J372" s="3"/>
      <c r="K372" s="3"/>
      <c r="L372" s="3"/>
      <c r="M372" s="3"/>
      <c r="N372" s="3"/>
    </row>
    <row r="373" spans="1:14" ht="15.6" customHeight="1" x14ac:dyDescent="0.3">
      <c r="A373" s="4">
        <v>45703</v>
      </c>
      <c r="B373" s="3" t="s">
        <v>71</v>
      </c>
      <c r="C373" s="3">
        <v>100</v>
      </c>
      <c r="D373" s="3" t="s">
        <v>6</v>
      </c>
      <c r="E373" s="3" t="s">
        <v>60</v>
      </c>
      <c r="I373" s="4"/>
      <c r="J373" s="3"/>
      <c r="K373" s="3"/>
      <c r="L373" s="3"/>
      <c r="M373" s="3"/>
      <c r="N373" s="3"/>
    </row>
    <row r="374" spans="1:14" ht="15.6" customHeight="1" x14ac:dyDescent="0.3">
      <c r="A374" s="4">
        <v>45703</v>
      </c>
      <c r="B374" s="3" t="s">
        <v>72</v>
      </c>
      <c r="C374" s="3">
        <v>3000</v>
      </c>
      <c r="D374" s="3" t="s">
        <v>6</v>
      </c>
      <c r="E374" s="3" t="s">
        <v>60</v>
      </c>
      <c r="I374" s="4"/>
      <c r="J374" s="3"/>
      <c r="K374" s="3"/>
      <c r="L374" s="3"/>
      <c r="M374" s="3"/>
      <c r="N374" s="3"/>
    </row>
    <row r="375" spans="1:14" ht="15.6" customHeight="1" x14ac:dyDescent="0.3">
      <c r="A375" s="4">
        <v>45708</v>
      </c>
      <c r="B375" s="3" t="s">
        <v>73</v>
      </c>
      <c r="C375" s="3">
        <v>4000</v>
      </c>
      <c r="D375" s="3" t="s">
        <v>6</v>
      </c>
      <c r="E375" s="3" t="s">
        <v>60</v>
      </c>
      <c r="I375" s="4"/>
      <c r="J375" s="3"/>
      <c r="K375" s="3"/>
      <c r="L375" s="3"/>
      <c r="M375" s="3"/>
      <c r="N375" s="3"/>
    </row>
    <row r="376" spans="1:14" ht="15.6" customHeight="1" x14ac:dyDescent="0.3">
      <c r="A376" s="4">
        <v>45717</v>
      </c>
      <c r="B376" s="3" t="s">
        <v>30</v>
      </c>
      <c r="C376" s="3">
        <v>200</v>
      </c>
      <c r="D376" s="3" t="s">
        <v>8</v>
      </c>
      <c r="E376" s="3" t="s">
        <v>7</v>
      </c>
      <c r="I376" s="4"/>
      <c r="J376" s="3"/>
      <c r="K376" s="3"/>
      <c r="L376" s="3"/>
      <c r="M376" s="3"/>
      <c r="N376" s="3"/>
    </row>
    <row r="377" spans="1:14" ht="15.6" customHeight="1" x14ac:dyDescent="0.3">
      <c r="A377" s="4">
        <v>45717</v>
      </c>
      <c r="B377" s="3" t="s">
        <v>5</v>
      </c>
      <c r="C377" s="3">
        <v>60</v>
      </c>
      <c r="D377" s="3" t="s">
        <v>6</v>
      </c>
      <c r="E377" s="3" t="s">
        <v>7</v>
      </c>
      <c r="I377" s="4"/>
      <c r="J377" s="3"/>
      <c r="K377" s="3"/>
      <c r="L377" s="3"/>
      <c r="M377" s="3"/>
      <c r="N377" s="3"/>
    </row>
    <row r="378" spans="1:14" ht="15.6" customHeight="1" x14ac:dyDescent="0.3">
      <c r="A378" s="4">
        <v>45719</v>
      </c>
      <c r="B378" s="3" t="s">
        <v>5</v>
      </c>
      <c r="C378" s="3">
        <v>60</v>
      </c>
      <c r="D378" s="3" t="s">
        <v>8</v>
      </c>
      <c r="E378" s="3" t="s">
        <v>7</v>
      </c>
      <c r="I378" s="4"/>
      <c r="J378" s="3"/>
      <c r="K378" s="3"/>
      <c r="L378" s="3"/>
      <c r="M378" s="3"/>
      <c r="N378" s="3"/>
    </row>
    <row r="379" spans="1:14" ht="15.6" customHeight="1" x14ac:dyDescent="0.3">
      <c r="A379" s="4">
        <v>45719</v>
      </c>
      <c r="B379" s="3" t="s">
        <v>14</v>
      </c>
      <c r="C379" s="3">
        <v>2400</v>
      </c>
      <c r="D379" s="3" t="s">
        <v>8</v>
      </c>
      <c r="E379" s="3" t="s">
        <v>7</v>
      </c>
      <c r="I379" s="4"/>
      <c r="J379" s="3"/>
      <c r="K379" s="3"/>
      <c r="L379" s="3"/>
      <c r="M379" s="3"/>
      <c r="N379" s="3"/>
    </row>
    <row r="380" spans="1:14" ht="15.6" customHeight="1" x14ac:dyDescent="0.3">
      <c r="A380" s="4">
        <v>45719</v>
      </c>
      <c r="B380" s="3" t="s">
        <v>12</v>
      </c>
      <c r="C380" s="3">
        <v>360</v>
      </c>
      <c r="D380" s="3" t="s">
        <v>8</v>
      </c>
      <c r="E380" s="3" t="s">
        <v>7</v>
      </c>
      <c r="I380" s="4"/>
      <c r="J380" s="3"/>
      <c r="K380" s="3"/>
      <c r="L380" s="3"/>
      <c r="M380" s="3"/>
      <c r="N380" s="3"/>
    </row>
    <row r="381" spans="1:14" ht="15.6" customHeight="1" x14ac:dyDescent="0.3">
      <c r="A381" s="4">
        <v>45720</v>
      </c>
      <c r="B381" s="3" t="s">
        <v>36</v>
      </c>
      <c r="C381" s="3">
        <v>120</v>
      </c>
      <c r="D381" s="3" t="s">
        <v>8</v>
      </c>
      <c r="E381" s="3" t="s">
        <v>7</v>
      </c>
      <c r="I381" s="4"/>
      <c r="J381" s="3"/>
      <c r="K381" s="3"/>
      <c r="L381" s="3"/>
      <c r="M381" s="3"/>
      <c r="N381" s="3"/>
    </row>
    <row r="382" spans="1:14" ht="15.6" customHeight="1" x14ac:dyDescent="0.3">
      <c r="A382" s="4">
        <v>45720</v>
      </c>
      <c r="B382" s="3" t="s">
        <v>18</v>
      </c>
      <c r="C382" s="3">
        <v>360</v>
      </c>
      <c r="D382" s="3" t="s">
        <v>8</v>
      </c>
      <c r="E382" s="3" t="s">
        <v>7</v>
      </c>
      <c r="I382" s="4"/>
      <c r="J382" s="3"/>
      <c r="K382" s="3"/>
      <c r="L382" s="3"/>
      <c r="M382" s="3"/>
      <c r="N382" s="3"/>
    </row>
    <row r="383" spans="1:14" ht="15.6" customHeight="1" x14ac:dyDescent="0.3">
      <c r="A383" s="4">
        <v>45721</v>
      </c>
      <c r="B383" s="3" t="s">
        <v>74</v>
      </c>
      <c r="C383" s="3">
        <v>3600</v>
      </c>
      <c r="D383" s="3" t="s">
        <v>6</v>
      </c>
      <c r="E383" s="3" t="s">
        <v>7</v>
      </c>
      <c r="I383" s="4"/>
      <c r="J383" s="3"/>
      <c r="K383" s="3"/>
      <c r="L383" s="3"/>
      <c r="M383" s="3"/>
      <c r="N383" s="3"/>
    </row>
    <row r="384" spans="1:14" ht="15.6" customHeight="1" x14ac:dyDescent="0.3">
      <c r="A384" s="4">
        <v>45722</v>
      </c>
      <c r="B384" s="3" t="s">
        <v>5</v>
      </c>
      <c r="C384" s="3">
        <v>60</v>
      </c>
      <c r="D384" s="3" t="s">
        <v>8</v>
      </c>
      <c r="E384" s="3" t="s">
        <v>7</v>
      </c>
      <c r="I384" s="4"/>
      <c r="J384" s="3"/>
      <c r="K384" s="3"/>
      <c r="L384" s="3"/>
      <c r="M384" s="3"/>
      <c r="N384" s="3"/>
    </row>
    <row r="385" spans="1:14" ht="15.6" customHeight="1" x14ac:dyDescent="0.3">
      <c r="A385" s="4">
        <v>45723</v>
      </c>
      <c r="B385" s="3" t="s">
        <v>14</v>
      </c>
      <c r="C385" s="3">
        <v>700</v>
      </c>
      <c r="D385" s="3" t="s">
        <v>8</v>
      </c>
      <c r="E385" s="3" t="s">
        <v>7</v>
      </c>
      <c r="I385" s="4"/>
      <c r="J385" s="3"/>
      <c r="K385" s="3"/>
      <c r="L385" s="3"/>
      <c r="M385" s="3"/>
      <c r="N385" s="3"/>
    </row>
    <row r="386" spans="1:14" ht="15.6" customHeight="1" x14ac:dyDescent="0.3">
      <c r="A386" s="4">
        <v>45724</v>
      </c>
      <c r="B386" s="3" t="s">
        <v>30</v>
      </c>
      <c r="C386" s="3">
        <v>500</v>
      </c>
      <c r="D386" s="3" t="s">
        <v>6</v>
      </c>
      <c r="E386" s="3" t="s">
        <v>7</v>
      </c>
      <c r="I386" s="4"/>
      <c r="J386" s="3"/>
      <c r="K386" s="3"/>
      <c r="L386" s="3"/>
      <c r="M386" s="3"/>
      <c r="N386" s="3"/>
    </row>
    <row r="387" spans="1:14" ht="15.6" customHeight="1" x14ac:dyDescent="0.3">
      <c r="A387" s="4">
        <v>45725</v>
      </c>
      <c r="B387" s="3" t="s">
        <v>36</v>
      </c>
      <c r="C387" s="3">
        <v>110</v>
      </c>
      <c r="D387" s="3" t="s">
        <v>8</v>
      </c>
      <c r="E387" s="3" t="s">
        <v>7</v>
      </c>
      <c r="I387" s="4"/>
      <c r="J387" s="3"/>
      <c r="K387" s="3"/>
      <c r="L387" s="3"/>
      <c r="M387" s="3"/>
      <c r="N387" s="3"/>
    </row>
    <row r="388" spans="1:14" ht="15.6" customHeight="1" x14ac:dyDescent="0.3">
      <c r="A388" s="4">
        <v>45726</v>
      </c>
      <c r="B388" s="3" t="s">
        <v>5</v>
      </c>
      <c r="C388" s="3">
        <v>80</v>
      </c>
      <c r="D388" s="3" t="s">
        <v>6</v>
      </c>
      <c r="E388" s="3" t="s">
        <v>7</v>
      </c>
      <c r="I388" s="4"/>
      <c r="J388" s="3"/>
      <c r="K388" s="3"/>
      <c r="L388" s="3"/>
      <c r="M388" s="3"/>
      <c r="N388" s="3"/>
    </row>
    <row r="389" spans="1:14" ht="15.6" customHeight="1" x14ac:dyDescent="0.3">
      <c r="A389" s="4">
        <v>45727</v>
      </c>
      <c r="B389" s="3" t="s">
        <v>12</v>
      </c>
      <c r="C389" s="3">
        <v>360</v>
      </c>
      <c r="D389" s="3" t="s">
        <v>8</v>
      </c>
      <c r="E389" s="3" t="s">
        <v>7</v>
      </c>
      <c r="I389" s="4"/>
      <c r="J389" s="3"/>
      <c r="K389" s="3"/>
      <c r="L389" s="3"/>
      <c r="M389" s="3"/>
      <c r="N389" s="3"/>
    </row>
    <row r="390" spans="1:14" ht="15.6" customHeight="1" x14ac:dyDescent="0.3">
      <c r="A390" s="4">
        <v>45727</v>
      </c>
      <c r="B390" s="3" t="s">
        <v>16</v>
      </c>
      <c r="C390" s="3">
        <v>400</v>
      </c>
      <c r="D390" s="3" t="s">
        <v>8</v>
      </c>
      <c r="E390" s="3" t="s">
        <v>7</v>
      </c>
      <c r="I390" s="4"/>
      <c r="J390" s="3"/>
      <c r="K390" s="3"/>
      <c r="L390" s="3"/>
      <c r="M390" s="3"/>
      <c r="N390" s="3"/>
    </row>
    <row r="391" spans="1:14" ht="15.6" customHeight="1" x14ac:dyDescent="0.3">
      <c r="A391" s="4">
        <v>45728</v>
      </c>
      <c r="B391" s="3" t="s">
        <v>75</v>
      </c>
      <c r="C391" s="3">
        <v>650</v>
      </c>
      <c r="D391" s="3" t="s">
        <v>8</v>
      </c>
      <c r="E391" s="3" t="s">
        <v>7</v>
      </c>
      <c r="I391" s="4"/>
      <c r="J391" s="3"/>
      <c r="K391" s="6"/>
      <c r="L391" s="3"/>
      <c r="M391" s="3"/>
      <c r="N391" s="3"/>
    </row>
    <row r="392" spans="1:14" ht="15.6" customHeight="1" x14ac:dyDescent="0.3">
      <c r="A392" s="4">
        <v>45729</v>
      </c>
      <c r="B392" s="3" t="s">
        <v>14</v>
      </c>
      <c r="C392" s="3">
        <v>950</v>
      </c>
      <c r="D392" s="3" t="s">
        <v>8</v>
      </c>
      <c r="E392" s="3" t="s">
        <v>7</v>
      </c>
      <c r="I392" s="4"/>
      <c r="J392" s="3"/>
      <c r="K392" s="6"/>
      <c r="L392" s="3"/>
      <c r="M392" s="3"/>
      <c r="N392" s="3"/>
    </row>
    <row r="393" spans="1:14" ht="15.6" customHeight="1" x14ac:dyDescent="0.3">
      <c r="A393" s="4">
        <v>45730</v>
      </c>
      <c r="B393" s="3" t="s">
        <v>5</v>
      </c>
      <c r="C393" s="3">
        <v>60</v>
      </c>
      <c r="D393" s="3" t="s">
        <v>8</v>
      </c>
      <c r="E393" s="3" t="s">
        <v>7</v>
      </c>
      <c r="I393" s="4"/>
      <c r="J393" s="3"/>
      <c r="K393" s="6"/>
      <c r="L393" s="3"/>
      <c r="M393" s="3"/>
      <c r="N393" s="3"/>
    </row>
    <row r="394" spans="1:14" ht="15.6" customHeight="1" x14ac:dyDescent="0.3">
      <c r="A394" s="4">
        <v>45731</v>
      </c>
      <c r="B394" s="3" t="s">
        <v>5</v>
      </c>
      <c r="C394" s="3">
        <v>60</v>
      </c>
      <c r="D394" s="3" t="s">
        <v>8</v>
      </c>
      <c r="E394" s="3" t="s">
        <v>7</v>
      </c>
      <c r="I394" s="4"/>
      <c r="J394" s="3"/>
      <c r="K394" s="3"/>
      <c r="L394" s="3"/>
      <c r="M394" s="3"/>
      <c r="N394" s="3"/>
    </row>
    <row r="395" spans="1:14" ht="15.6" customHeight="1" x14ac:dyDescent="0.3">
      <c r="A395" s="4">
        <v>45732</v>
      </c>
      <c r="B395" s="3" t="s">
        <v>11</v>
      </c>
      <c r="C395" s="3">
        <v>350</v>
      </c>
      <c r="D395" s="3" t="s">
        <v>8</v>
      </c>
      <c r="E395" s="3" t="s">
        <v>7</v>
      </c>
      <c r="I395" s="4"/>
      <c r="J395" s="3"/>
      <c r="K395" s="3"/>
      <c r="L395" s="3"/>
      <c r="M395" s="3"/>
      <c r="N395" s="3"/>
    </row>
    <row r="396" spans="1:14" ht="15.6" customHeight="1" x14ac:dyDescent="0.3">
      <c r="A396" s="4">
        <v>45732</v>
      </c>
      <c r="B396" s="3" t="s">
        <v>14</v>
      </c>
      <c r="C396" s="3">
        <v>700</v>
      </c>
      <c r="D396" s="3" t="s">
        <v>8</v>
      </c>
      <c r="E396" s="3" t="s">
        <v>7</v>
      </c>
      <c r="I396" s="4"/>
      <c r="J396" s="3"/>
      <c r="K396" s="3"/>
      <c r="L396" s="3"/>
      <c r="M396" s="3"/>
      <c r="N396" s="3"/>
    </row>
    <row r="397" spans="1:14" ht="15.6" customHeight="1" x14ac:dyDescent="0.3">
      <c r="A397" s="4">
        <v>45734</v>
      </c>
      <c r="B397" s="3" t="s">
        <v>39</v>
      </c>
      <c r="C397" s="3">
        <v>800</v>
      </c>
      <c r="D397" s="3" t="s">
        <v>8</v>
      </c>
      <c r="E397" s="3" t="s">
        <v>7</v>
      </c>
      <c r="I397" s="4"/>
      <c r="J397" s="3"/>
      <c r="K397" s="3"/>
      <c r="L397" s="3"/>
      <c r="M397" s="3"/>
      <c r="N397" s="3"/>
    </row>
    <row r="398" spans="1:14" ht="15.6" customHeight="1" x14ac:dyDescent="0.3">
      <c r="A398" s="4">
        <v>45735</v>
      </c>
      <c r="B398" s="3" t="s">
        <v>5</v>
      </c>
      <c r="C398" s="3">
        <v>60</v>
      </c>
      <c r="D398" s="3" t="s">
        <v>8</v>
      </c>
      <c r="E398" s="3" t="s">
        <v>7</v>
      </c>
      <c r="I398" s="4"/>
      <c r="J398" s="3"/>
      <c r="K398" s="3"/>
      <c r="L398" s="3"/>
      <c r="M398" s="3"/>
      <c r="N398" s="3"/>
    </row>
    <row r="399" spans="1:14" ht="15.6" customHeight="1" x14ac:dyDescent="0.3">
      <c r="A399" s="4">
        <v>45735</v>
      </c>
      <c r="B399" s="3" t="s">
        <v>36</v>
      </c>
      <c r="C399" s="3">
        <v>120</v>
      </c>
      <c r="D399" s="3" t="s">
        <v>8</v>
      </c>
      <c r="E399" s="3" t="s">
        <v>7</v>
      </c>
      <c r="I399" s="4"/>
      <c r="J399" s="3"/>
      <c r="K399" s="3"/>
      <c r="L399" s="3"/>
      <c r="M399" s="3"/>
      <c r="N399" s="3"/>
    </row>
    <row r="400" spans="1:14" ht="15.6" customHeight="1" x14ac:dyDescent="0.3">
      <c r="A400" s="4">
        <v>45737</v>
      </c>
      <c r="B400" s="3" t="s">
        <v>30</v>
      </c>
      <c r="C400" s="3">
        <v>460</v>
      </c>
      <c r="D400" s="3" t="s">
        <v>8</v>
      </c>
      <c r="E400" s="3" t="s">
        <v>7</v>
      </c>
      <c r="I400" s="4"/>
      <c r="J400" s="3"/>
      <c r="K400" s="3"/>
      <c r="L400" s="3"/>
      <c r="M400" s="3"/>
      <c r="N400" s="3"/>
    </row>
    <row r="401" spans="1:14" ht="15.6" customHeight="1" x14ac:dyDescent="0.3">
      <c r="A401" s="4">
        <v>45738</v>
      </c>
      <c r="B401" s="3" t="s">
        <v>5</v>
      </c>
      <c r="C401" s="3">
        <v>60</v>
      </c>
      <c r="D401" s="3" t="s">
        <v>6</v>
      </c>
      <c r="E401" s="3" t="s">
        <v>7</v>
      </c>
      <c r="I401" s="4"/>
      <c r="J401" s="3"/>
      <c r="K401" s="3"/>
      <c r="L401" s="3"/>
      <c r="M401" s="3"/>
      <c r="N401" s="3"/>
    </row>
    <row r="402" spans="1:14" ht="15.6" customHeight="1" x14ac:dyDescent="0.3">
      <c r="A402" s="4">
        <v>45739</v>
      </c>
      <c r="B402" s="3" t="s">
        <v>30</v>
      </c>
      <c r="C402" s="3">
        <v>500</v>
      </c>
      <c r="D402" s="3" t="s">
        <v>8</v>
      </c>
      <c r="E402" s="3" t="s">
        <v>7</v>
      </c>
      <c r="I402" s="4"/>
      <c r="J402" s="3"/>
      <c r="K402" s="3"/>
      <c r="L402" s="3"/>
      <c r="M402" s="3"/>
      <c r="N402" s="3"/>
    </row>
    <row r="403" spans="1:14" ht="15.6" customHeight="1" x14ac:dyDescent="0.3">
      <c r="A403" s="4">
        <v>45739</v>
      </c>
      <c r="B403" s="3" t="s">
        <v>36</v>
      </c>
      <c r="C403" s="3">
        <v>100</v>
      </c>
      <c r="D403" s="3" t="s">
        <v>8</v>
      </c>
      <c r="E403" s="3" t="s">
        <v>7</v>
      </c>
      <c r="I403" s="4"/>
      <c r="J403" s="3"/>
      <c r="K403" s="3"/>
      <c r="L403" s="3"/>
      <c r="M403" s="3"/>
      <c r="N403" s="3"/>
    </row>
    <row r="404" spans="1:14" ht="15.6" customHeight="1" x14ac:dyDescent="0.3">
      <c r="A404" s="4">
        <v>45741</v>
      </c>
      <c r="B404" s="3" t="s">
        <v>39</v>
      </c>
      <c r="C404" s="3">
        <v>1000</v>
      </c>
      <c r="D404" s="3" t="s">
        <v>6</v>
      </c>
      <c r="E404" s="3" t="s">
        <v>7</v>
      </c>
      <c r="I404" s="4"/>
      <c r="J404" s="3"/>
      <c r="K404" s="3"/>
      <c r="L404" s="3"/>
      <c r="M404" s="3"/>
      <c r="N404" s="3"/>
    </row>
    <row r="405" spans="1:14" ht="15.6" customHeight="1" x14ac:dyDescent="0.3">
      <c r="A405" s="4">
        <v>45742</v>
      </c>
      <c r="B405" s="3" t="s">
        <v>5</v>
      </c>
      <c r="C405" s="3">
        <v>60</v>
      </c>
      <c r="D405" s="3" t="s">
        <v>6</v>
      </c>
      <c r="E405" s="3" t="s">
        <v>7</v>
      </c>
      <c r="I405" s="4"/>
      <c r="J405" s="3"/>
      <c r="K405" s="3"/>
      <c r="L405" s="3"/>
      <c r="M405" s="3"/>
      <c r="N405" s="3"/>
    </row>
    <row r="406" spans="1:14" ht="15.6" customHeight="1" x14ac:dyDescent="0.3">
      <c r="A406" s="4">
        <v>45743</v>
      </c>
      <c r="B406" s="3" t="s">
        <v>39</v>
      </c>
      <c r="C406" s="3">
        <v>960</v>
      </c>
      <c r="D406" s="3" t="s">
        <v>8</v>
      </c>
      <c r="E406" s="3" t="s">
        <v>7</v>
      </c>
      <c r="I406" s="4"/>
      <c r="J406" s="3"/>
      <c r="K406" s="3"/>
      <c r="L406" s="3"/>
      <c r="M406" s="3"/>
      <c r="N406" s="3"/>
    </row>
    <row r="407" spans="1:14" ht="15.6" customHeight="1" x14ac:dyDescent="0.3">
      <c r="A407" s="4">
        <v>45744</v>
      </c>
      <c r="B407" s="3" t="s">
        <v>5</v>
      </c>
      <c r="C407" s="3">
        <v>60</v>
      </c>
      <c r="D407" s="3" t="s">
        <v>8</v>
      </c>
      <c r="E407" s="3" t="s">
        <v>7</v>
      </c>
      <c r="I407" s="4"/>
      <c r="J407" s="3"/>
      <c r="K407" s="3"/>
      <c r="L407" s="3"/>
      <c r="M407" s="3"/>
      <c r="N407" s="3"/>
    </row>
    <row r="408" spans="1:14" ht="15.6" customHeight="1" x14ac:dyDescent="0.3">
      <c r="A408" s="4">
        <v>45745</v>
      </c>
      <c r="B408" s="3" t="s">
        <v>30</v>
      </c>
      <c r="C408" s="3">
        <v>200</v>
      </c>
      <c r="D408" s="3" t="s">
        <v>8</v>
      </c>
      <c r="E408" s="3" t="s">
        <v>7</v>
      </c>
      <c r="I408" s="4"/>
      <c r="J408" s="3"/>
      <c r="K408" s="3"/>
      <c r="L408" s="3"/>
      <c r="M408" s="3"/>
      <c r="N408" s="3"/>
    </row>
    <row r="409" spans="1:14" ht="15.6" customHeight="1" x14ac:dyDescent="0.3">
      <c r="A409" s="4">
        <v>45747</v>
      </c>
      <c r="B409" s="3" t="s">
        <v>5</v>
      </c>
      <c r="C409" s="3">
        <v>60</v>
      </c>
      <c r="D409" s="3" t="s">
        <v>6</v>
      </c>
      <c r="E409" s="3" t="s">
        <v>7</v>
      </c>
      <c r="I409" s="4"/>
      <c r="J409" s="3"/>
      <c r="K409" s="3"/>
      <c r="L409" s="3"/>
      <c r="M409" s="3"/>
      <c r="N409" s="3"/>
    </row>
    <row r="410" spans="1:14" ht="15.6" customHeight="1" x14ac:dyDescent="0.3">
      <c r="A410" s="4">
        <v>45730</v>
      </c>
      <c r="B410" s="3" t="s">
        <v>76</v>
      </c>
      <c r="C410" s="3">
        <v>625</v>
      </c>
      <c r="D410" s="3" t="s">
        <v>6</v>
      </c>
      <c r="E410" s="3" t="s">
        <v>60</v>
      </c>
      <c r="I410" s="4"/>
      <c r="J410" s="3"/>
      <c r="K410" s="3"/>
      <c r="L410" s="3"/>
      <c r="M410" s="3"/>
      <c r="N410" s="3"/>
    </row>
    <row r="411" spans="1:14" ht="15.6" customHeight="1" x14ac:dyDescent="0.3">
      <c r="A411" s="4">
        <v>45732</v>
      </c>
      <c r="B411" s="3" t="s">
        <v>59</v>
      </c>
      <c r="C411" s="3">
        <v>150</v>
      </c>
      <c r="D411" s="3" t="s">
        <v>6</v>
      </c>
      <c r="E411" s="3" t="s">
        <v>60</v>
      </c>
      <c r="I411" s="4"/>
      <c r="J411" s="3"/>
      <c r="K411" s="6"/>
      <c r="L411" s="3"/>
      <c r="M411" s="3"/>
      <c r="N411" s="3"/>
    </row>
    <row r="412" spans="1:14" ht="15.6" customHeight="1" x14ac:dyDescent="0.3">
      <c r="A412" s="4">
        <v>45737</v>
      </c>
      <c r="B412" s="3" t="s">
        <v>77</v>
      </c>
      <c r="C412" s="3">
        <v>80</v>
      </c>
      <c r="D412" s="3" t="s">
        <v>6</v>
      </c>
      <c r="E412" s="3" t="s">
        <v>60</v>
      </c>
      <c r="I412" s="4"/>
      <c r="J412" s="3"/>
      <c r="K412" s="6"/>
      <c r="L412" s="3"/>
      <c r="M412" s="3"/>
      <c r="N412" s="3"/>
    </row>
    <row r="413" spans="1:14" ht="15.6" customHeight="1" x14ac:dyDescent="0.3">
      <c r="A413" s="4">
        <v>45741</v>
      </c>
      <c r="B413" s="3" t="s">
        <v>78</v>
      </c>
      <c r="C413" s="3">
        <v>350</v>
      </c>
      <c r="D413" s="3" t="s">
        <v>8</v>
      </c>
      <c r="E413" s="3" t="s">
        <v>60</v>
      </c>
      <c r="I413" s="4"/>
      <c r="J413" s="3"/>
      <c r="K413" s="3"/>
      <c r="L413" s="3"/>
      <c r="M413" s="3"/>
      <c r="N413" s="3"/>
    </row>
    <row r="414" spans="1:14" ht="15.6" customHeight="1" x14ac:dyDescent="0.3">
      <c r="A414" s="4">
        <v>45748</v>
      </c>
      <c r="B414" s="3" t="s">
        <v>29</v>
      </c>
      <c r="C414" s="3">
        <v>470</v>
      </c>
      <c r="D414" s="3" t="s">
        <v>6</v>
      </c>
      <c r="E414" s="3" t="s">
        <v>7</v>
      </c>
      <c r="I414" s="4"/>
      <c r="J414" s="3"/>
      <c r="K414" s="3"/>
      <c r="L414" s="3"/>
      <c r="M414" s="3"/>
      <c r="N414" s="3"/>
    </row>
    <row r="415" spans="1:14" ht="15.6" customHeight="1" x14ac:dyDescent="0.3">
      <c r="A415" s="4">
        <v>45748</v>
      </c>
      <c r="B415" s="3" t="s">
        <v>29</v>
      </c>
      <c r="C415" s="3">
        <v>400</v>
      </c>
      <c r="D415" s="3" t="s">
        <v>8</v>
      </c>
      <c r="E415" s="3" t="s">
        <v>7</v>
      </c>
      <c r="I415" s="4"/>
      <c r="J415" s="3"/>
      <c r="K415" s="3"/>
      <c r="L415" s="3"/>
      <c r="M415" s="3"/>
      <c r="N415" s="3"/>
    </row>
    <row r="416" spans="1:14" ht="15.6" customHeight="1" x14ac:dyDescent="0.3">
      <c r="A416" s="4">
        <v>45748</v>
      </c>
      <c r="B416" s="3" t="s">
        <v>14</v>
      </c>
      <c r="C416" s="3">
        <v>1000</v>
      </c>
      <c r="D416" s="3" t="s">
        <v>8</v>
      </c>
      <c r="E416" s="3" t="s">
        <v>7</v>
      </c>
      <c r="I416" s="4"/>
      <c r="J416" s="3"/>
      <c r="K416" s="3"/>
      <c r="L416" s="3"/>
      <c r="M416" s="3"/>
      <c r="N416" s="3"/>
    </row>
    <row r="417" spans="1:14" ht="15.6" customHeight="1" x14ac:dyDescent="0.3">
      <c r="A417" s="4">
        <v>45749</v>
      </c>
      <c r="B417" s="3" t="s">
        <v>5</v>
      </c>
      <c r="C417" s="3">
        <v>60</v>
      </c>
      <c r="D417" s="3" t="s">
        <v>8</v>
      </c>
      <c r="E417" s="3" t="s">
        <v>7</v>
      </c>
      <c r="I417" s="4"/>
      <c r="J417" s="3"/>
      <c r="K417" s="3"/>
      <c r="L417" s="3"/>
      <c r="M417" s="3"/>
      <c r="N417" s="3"/>
    </row>
    <row r="418" spans="1:14" ht="15.6" customHeight="1" x14ac:dyDescent="0.3">
      <c r="A418" s="4">
        <v>45749</v>
      </c>
      <c r="B418" s="3" t="s">
        <v>36</v>
      </c>
      <c r="C418" s="3">
        <v>120</v>
      </c>
      <c r="D418" s="3" t="s">
        <v>8</v>
      </c>
      <c r="E418" s="3" t="s">
        <v>7</v>
      </c>
      <c r="I418" s="4"/>
      <c r="J418" s="3"/>
      <c r="K418" s="3"/>
      <c r="L418" s="3"/>
      <c r="M418" s="3"/>
      <c r="N418" s="3"/>
    </row>
    <row r="419" spans="1:14" ht="15.6" customHeight="1" x14ac:dyDescent="0.3">
      <c r="A419" s="4">
        <v>45749</v>
      </c>
      <c r="B419" s="3" t="s">
        <v>49</v>
      </c>
      <c r="C419" s="3">
        <v>310</v>
      </c>
      <c r="D419" s="3" t="s">
        <v>8</v>
      </c>
      <c r="E419" s="3" t="s">
        <v>7</v>
      </c>
      <c r="I419" s="4"/>
      <c r="J419" s="3"/>
      <c r="K419" s="6"/>
      <c r="L419" s="3"/>
      <c r="M419" s="3"/>
      <c r="N419" s="3"/>
    </row>
    <row r="420" spans="1:14" ht="15.6" customHeight="1" x14ac:dyDescent="0.3">
      <c r="A420" s="4">
        <v>45749</v>
      </c>
      <c r="B420" s="3" t="s">
        <v>44</v>
      </c>
      <c r="C420" s="3">
        <v>600</v>
      </c>
      <c r="D420" s="3" t="s">
        <v>8</v>
      </c>
      <c r="E420" s="3" t="s">
        <v>7</v>
      </c>
      <c r="I420" s="4"/>
      <c r="J420" s="3"/>
      <c r="K420" s="6"/>
      <c r="L420" s="3"/>
      <c r="M420" s="3"/>
      <c r="N420" s="3"/>
    </row>
    <row r="421" spans="1:14" ht="15.6" customHeight="1" x14ac:dyDescent="0.3">
      <c r="A421" s="4">
        <v>45749</v>
      </c>
      <c r="B421" s="3" t="s">
        <v>5</v>
      </c>
      <c r="C421" s="3">
        <v>60</v>
      </c>
      <c r="D421" s="3" t="s">
        <v>8</v>
      </c>
      <c r="E421" s="3" t="s">
        <v>7</v>
      </c>
      <c r="I421" s="4"/>
      <c r="J421" s="3"/>
      <c r="K421" s="3"/>
      <c r="L421" s="3"/>
      <c r="M421" s="3"/>
      <c r="N421" s="3"/>
    </row>
    <row r="422" spans="1:14" ht="15.6" customHeight="1" x14ac:dyDescent="0.3">
      <c r="A422" s="4">
        <v>45750</v>
      </c>
      <c r="B422" s="3" t="s">
        <v>30</v>
      </c>
      <c r="C422" s="3">
        <v>560</v>
      </c>
      <c r="D422" s="3" t="s">
        <v>8</v>
      </c>
      <c r="E422" s="3" t="s">
        <v>7</v>
      </c>
      <c r="I422" s="4"/>
      <c r="J422" s="3"/>
      <c r="K422" s="3"/>
      <c r="L422" s="3"/>
      <c r="M422" s="3"/>
      <c r="N422" s="3"/>
    </row>
    <row r="423" spans="1:14" ht="15.6" customHeight="1" x14ac:dyDescent="0.3">
      <c r="A423" s="4">
        <v>45750</v>
      </c>
      <c r="B423" s="3" t="s">
        <v>79</v>
      </c>
      <c r="C423" s="3">
        <v>200</v>
      </c>
      <c r="D423" s="3" t="s">
        <v>8</v>
      </c>
      <c r="E423" s="3" t="s">
        <v>7</v>
      </c>
      <c r="I423" s="4"/>
      <c r="J423" s="3"/>
      <c r="K423" s="3"/>
      <c r="L423" s="3"/>
      <c r="M423" s="3"/>
      <c r="N423" s="3"/>
    </row>
    <row r="424" spans="1:14" ht="15.6" customHeight="1" x14ac:dyDescent="0.3">
      <c r="A424" s="4">
        <v>45750</v>
      </c>
      <c r="B424" s="3" t="s">
        <v>5</v>
      </c>
      <c r="C424" s="3">
        <v>80</v>
      </c>
      <c r="D424" s="3" t="s">
        <v>8</v>
      </c>
      <c r="E424" s="3" t="s">
        <v>7</v>
      </c>
      <c r="I424" s="4"/>
      <c r="J424" s="3"/>
      <c r="K424" s="3"/>
      <c r="L424" s="3"/>
      <c r="M424" s="3"/>
      <c r="N424" s="3"/>
    </row>
    <row r="425" spans="1:14" ht="15.6" customHeight="1" x14ac:dyDescent="0.3">
      <c r="A425" s="4">
        <v>45751</v>
      </c>
      <c r="B425" s="3" t="s">
        <v>5</v>
      </c>
      <c r="C425" s="3">
        <v>60</v>
      </c>
      <c r="D425" s="3" t="s">
        <v>6</v>
      </c>
      <c r="E425" s="3" t="s">
        <v>7</v>
      </c>
      <c r="I425" s="4"/>
      <c r="J425" s="3"/>
      <c r="K425" s="3"/>
      <c r="L425" s="3"/>
      <c r="M425" s="3"/>
      <c r="N425" s="3"/>
    </row>
    <row r="426" spans="1:14" ht="15.6" customHeight="1" x14ac:dyDescent="0.3">
      <c r="A426" s="4">
        <v>45751</v>
      </c>
      <c r="B426" s="3" t="s">
        <v>36</v>
      </c>
      <c r="C426" s="3">
        <v>120</v>
      </c>
      <c r="D426" s="3" t="s">
        <v>8</v>
      </c>
      <c r="E426" s="3" t="s">
        <v>7</v>
      </c>
      <c r="I426" s="4"/>
      <c r="J426" s="3"/>
      <c r="K426" s="3"/>
      <c r="L426" s="3"/>
      <c r="M426" s="3"/>
      <c r="N426" s="3"/>
    </row>
    <row r="427" spans="1:14" ht="15.6" customHeight="1" x14ac:dyDescent="0.3">
      <c r="A427" s="4">
        <v>45753</v>
      </c>
      <c r="B427" s="3" t="s">
        <v>11</v>
      </c>
      <c r="C427" s="3">
        <v>350</v>
      </c>
      <c r="D427" s="3" t="s">
        <v>8</v>
      </c>
      <c r="E427" s="3" t="s">
        <v>7</v>
      </c>
      <c r="I427" s="4"/>
      <c r="J427" s="3"/>
      <c r="K427" s="3"/>
      <c r="L427" s="3"/>
      <c r="M427" s="3"/>
      <c r="N427" s="3"/>
    </row>
    <row r="428" spans="1:14" ht="15.6" customHeight="1" x14ac:dyDescent="0.3">
      <c r="A428" s="4">
        <v>45753</v>
      </c>
      <c r="B428" s="3" t="s">
        <v>5</v>
      </c>
      <c r="C428" s="3">
        <v>60</v>
      </c>
      <c r="D428" s="3" t="s">
        <v>6</v>
      </c>
      <c r="E428" s="3" t="s">
        <v>7</v>
      </c>
      <c r="I428" s="4"/>
      <c r="J428" s="3"/>
      <c r="K428" s="3"/>
      <c r="L428" s="3"/>
      <c r="M428" s="3"/>
      <c r="N428" s="3"/>
    </row>
    <row r="429" spans="1:14" ht="15.6" customHeight="1" x14ac:dyDescent="0.3">
      <c r="A429" s="4">
        <v>45754</v>
      </c>
      <c r="B429" s="3" t="s">
        <v>36</v>
      </c>
      <c r="C429" s="3">
        <v>110</v>
      </c>
      <c r="D429" s="3" t="s">
        <v>8</v>
      </c>
      <c r="E429" s="3" t="s">
        <v>7</v>
      </c>
      <c r="I429" s="4"/>
      <c r="J429" s="3"/>
      <c r="K429" s="6"/>
      <c r="L429" s="3"/>
      <c r="M429" s="3"/>
      <c r="N429" s="3"/>
    </row>
    <row r="430" spans="1:14" ht="15.6" customHeight="1" x14ac:dyDescent="0.3">
      <c r="A430" s="4">
        <v>45754</v>
      </c>
      <c r="B430" s="3" t="s">
        <v>36</v>
      </c>
      <c r="C430" s="3">
        <v>240</v>
      </c>
      <c r="D430" s="3" t="s">
        <v>8</v>
      </c>
      <c r="E430" s="3" t="s">
        <v>7</v>
      </c>
      <c r="I430" s="4"/>
      <c r="J430" s="3"/>
      <c r="K430" s="6"/>
      <c r="L430" s="3"/>
      <c r="M430" s="3"/>
      <c r="N430" s="3"/>
    </row>
    <row r="431" spans="1:14" ht="15.6" customHeight="1" x14ac:dyDescent="0.3">
      <c r="A431" s="4">
        <v>45757</v>
      </c>
      <c r="B431" s="3" t="s">
        <v>14</v>
      </c>
      <c r="C431" s="3">
        <v>700</v>
      </c>
      <c r="D431" s="3" t="s">
        <v>8</v>
      </c>
      <c r="E431" s="3" t="s">
        <v>7</v>
      </c>
      <c r="I431" s="4"/>
      <c r="J431" s="3"/>
      <c r="K431" s="3"/>
      <c r="L431" s="3"/>
      <c r="M431" s="3"/>
      <c r="N431" s="3"/>
    </row>
    <row r="432" spans="1:14" ht="15.6" customHeight="1" x14ac:dyDescent="0.3">
      <c r="A432" s="4">
        <v>45757</v>
      </c>
      <c r="B432" s="3" t="s">
        <v>80</v>
      </c>
      <c r="C432" s="3">
        <v>250</v>
      </c>
      <c r="D432" s="3" t="s">
        <v>8</v>
      </c>
      <c r="E432" s="3" t="s">
        <v>7</v>
      </c>
      <c r="I432" s="4"/>
      <c r="J432" s="3"/>
      <c r="K432" s="3"/>
      <c r="L432" s="3"/>
      <c r="M432" s="3"/>
      <c r="N432" s="3"/>
    </row>
    <row r="433" spans="1:14" ht="15.6" customHeight="1" x14ac:dyDescent="0.3">
      <c r="A433" s="4">
        <v>45757</v>
      </c>
      <c r="B433" s="3" t="s">
        <v>15</v>
      </c>
      <c r="C433" s="3">
        <v>400</v>
      </c>
      <c r="D433" s="3" t="s">
        <v>8</v>
      </c>
      <c r="E433" s="3" t="s">
        <v>7</v>
      </c>
      <c r="I433" s="4"/>
      <c r="J433" s="3"/>
      <c r="K433" s="3"/>
      <c r="L433" s="3"/>
      <c r="M433" s="3"/>
      <c r="N433" s="3"/>
    </row>
    <row r="434" spans="1:14" ht="15.6" customHeight="1" x14ac:dyDescent="0.3">
      <c r="A434" s="4">
        <v>45757</v>
      </c>
      <c r="B434" s="3" t="s">
        <v>5</v>
      </c>
      <c r="C434" s="3">
        <v>60</v>
      </c>
      <c r="D434" s="3" t="s">
        <v>6</v>
      </c>
      <c r="E434" s="3" t="s">
        <v>7</v>
      </c>
      <c r="I434" s="4"/>
      <c r="J434" s="3"/>
      <c r="K434" s="6"/>
      <c r="L434" s="3"/>
      <c r="M434" s="3"/>
      <c r="N434" s="3"/>
    </row>
    <row r="435" spans="1:14" ht="15.6" customHeight="1" x14ac:dyDescent="0.3">
      <c r="A435" s="4">
        <v>45757</v>
      </c>
      <c r="B435" s="3" t="s">
        <v>39</v>
      </c>
      <c r="C435" s="3">
        <v>900</v>
      </c>
      <c r="D435" s="3" t="s">
        <v>8</v>
      </c>
      <c r="E435" s="3" t="s">
        <v>7</v>
      </c>
      <c r="I435" s="4"/>
      <c r="J435" s="3"/>
      <c r="K435" s="6"/>
      <c r="L435" s="3"/>
      <c r="M435" s="3"/>
      <c r="N435" s="3"/>
    </row>
    <row r="436" spans="1:14" ht="15.6" customHeight="1" x14ac:dyDescent="0.3">
      <c r="A436" s="4">
        <v>45758</v>
      </c>
      <c r="B436" s="3" t="s">
        <v>30</v>
      </c>
      <c r="C436" s="3">
        <v>300</v>
      </c>
      <c r="D436" s="3" t="s">
        <v>8</v>
      </c>
      <c r="E436" s="3" t="s">
        <v>7</v>
      </c>
      <c r="I436" s="4"/>
      <c r="J436" s="3"/>
      <c r="K436" s="3"/>
      <c r="L436" s="3"/>
      <c r="M436" s="3"/>
      <c r="N436" s="3"/>
    </row>
    <row r="437" spans="1:14" ht="15.6" customHeight="1" x14ac:dyDescent="0.3">
      <c r="A437" s="4">
        <v>45758</v>
      </c>
      <c r="B437" s="3" t="s">
        <v>36</v>
      </c>
      <c r="C437" s="3">
        <v>120</v>
      </c>
      <c r="D437" s="3" t="s">
        <v>8</v>
      </c>
      <c r="E437" s="3" t="s">
        <v>7</v>
      </c>
      <c r="I437" s="4"/>
      <c r="J437" s="3"/>
      <c r="K437" s="3"/>
      <c r="L437" s="3"/>
      <c r="M437" s="3"/>
      <c r="N437" s="3"/>
    </row>
    <row r="438" spans="1:14" ht="15.6" customHeight="1" x14ac:dyDescent="0.3">
      <c r="A438" s="4">
        <v>45758</v>
      </c>
      <c r="B438" s="3" t="s">
        <v>39</v>
      </c>
      <c r="C438" s="3">
        <v>800</v>
      </c>
      <c r="D438" s="3" t="s">
        <v>6</v>
      </c>
      <c r="E438" s="3" t="s">
        <v>7</v>
      </c>
      <c r="I438" s="4"/>
      <c r="J438" s="3"/>
      <c r="K438" s="3"/>
      <c r="L438" s="3"/>
      <c r="M438" s="3"/>
      <c r="N438" s="3"/>
    </row>
    <row r="439" spans="1:14" ht="15.6" customHeight="1" x14ac:dyDescent="0.3">
      <c r="A439" s="4">
        <v>45758</v>
      </c>
      <c r="B439" s="3" t="s">
        <v>5</v>
      </c>
      <c r="C439" s="3">
        <v>50</v>
      </c>
      <c r="D439" s="3" t="s">
        <v>8</v>
      </c>
      <c r="E439" s="3" t="s">
        <v>7</v>
      </c>
      <c r="I439" s="4"/>
      <c r="J439" s="3"/>
      <c r="K439" s="3"/>
      <c r="L439" s="3"/>
      <c r="M439" s="3"/>
      <c r="N439" s="3"/>
    </row>
    <row r="440" spans="1:14" ht="15.6" customHeight="1" x14ac:dyDescent="0.3">
      <c r="A440" s="4">
        <v>45759</v>
      </c>
      <c r="B440" s="3" t="s">
        <v>5</v>
      </c>
      <c r="C440" s="3">
        <v>80</v>
      </c>
      <c r="D440" s="3" t="s">
        <v>8</v>
      </c>
      <c r="E440" s="3" t="s">
        <v>7</v>
      </c>
      <c r="I440" s="4"/>
      <c r="J440" s="3"/>
      <c r="K440" s="3"/>
      <c r="L440" s="3"/>
      <c r="M440" s="3"/>
      <c r="N440" s="3"/>
    </row>
    <row r="441" spans="1:14" ht="15.6" customHeight="1" x14ac:dyDescent="0.3">
      <c r="A441" s="4">
        <v>45759</v>
      </c>
      <c r="B441" s="3" t="s">
        <v>39</v>
      </c>
      <c r="C441" s="3">
        <v>1200</v>
      </c>
      <c r="D441" s="3" t="s">
        <v>6</v>
      </c>
      <c r="E441" s="3" t="s">
        <v>7</v>
      </c>
      <c r="I441" s="4"/>
      <c r="J441" s="3"/>
      <c r="K441" s="3"/>
      <c r="L441" s="3"/>
      <c r="M441" s="3"/>
      <c r="N441" s="3"/>
    </row>
    <row r="442" spans="1:14" ht="15.6" customHeight="1" x14ac:dyDescent="0.3">
      <c r="A442" s="4">
        <v>45759</v>
      </c>
      <c r="B442" s="3" t="s">
        <v>36</v>
      </c>
      <c r="C442" s="3">
        <v>120</v>
      </c>
      <c r="D442" s="3" t="s">
        <v>8</v>
      </c>
      <c r="E442" s="3" t="s">
        <v>7</v>
      </c>
      <c r="I442" s="4"/>
      <c r="J442" s="3"/>
      <c r="K442" s="6"/>
      <c r="L442" s="3"/>
      <c r="M442" s="3"/>
      <c r="N442" s="3"/>
    </row>
    <row r="443" spans="1:14" ht="15.6" customHeight="1" x14ac:dyDescent="0.3">
      <c r="A443" s="4">
        <v>45761</v>
      </c>
      <c r="B443" s="3" t="s">
        <v>14</v>
      </c>
      <c r="C443" s="3">
        <v>750</v>
      </c>
      <c r="D443" s="3" t="s">
        <v>8</v>
      </c>
      <c r="E443" s="3" t="s">
        <v>7</v>
      </c>
      <c r="I443" s="4"/>
      <c r="J443" s="3"/>
      <c r="K443" s="6"/>
      <c r="L443" s="3"/>
      <c r="M443" s="3"/>
      <c r="N443" s="3"/>
    </row>
    <row r="444" spans="1:14" ht="15.6" customHeight="1" x14ac:dyDescent="0.3">
      <c r="A444" s="4">
        <v>45761</v>
      </c>
      <c r="B444" s="3" t="s">
        <v>80</v>
      </c>
      <c r="C444" s="3">
        <v>250</v>
      </c>
      <c r="D444" s="3" t="s">
        <v>8</v>
      </c>
      <c r="E444" s="3" t="s">
        <v>7</v>
      </c>
      <c r="I444" s="4"/>
      <c r="J444" s="3"/>
      <c r="K444" s="3"/>
      <c r="L444" s="3"/>
      <c r="M444" s="3"/>
      <c r="N444" s="3"/>
    </row>
    <row r="445" spans="1:14" ht="15.6" customHeight="1" x14ac:dyDescent="0.3">
      <c r="A445" s="4">
        <v>45761</v>
      </c>
      <c r="B445" s="3" t="s">
        <v>5</v>
      </c>
      <c r="C445" s="3">
        <v>90</v>
      </c>
      <c r="D445" s="3" t="s">
        <v>8</v>
      </c>
      <c r="E445" s="3" t="s">
        <v>7</v>
      </c>
      <c r="I445" s="4"/>
      <c r="J445" s="3"/>
      <c r="K445" s="3"/>
      <c r="L445" s="3"/>
      <c r="M445" s="3"/>
      <c r="N445" s="3"/>
    </row>
    <row r="446" spans="1:14" ht="15.6" customHeight="1" x14ac:dyDescent="0.3">
      <c r="A446" s="4">
        <v>45762</v>
      </c>
      <c r="B446" s="3" t="s">
        <v>11</v>
      </c>
      <c r="C446" s="3">
        <v>500</v>
      </c>
      <c r="D446" s="3" t="s">
        <v>6</v>
      </c>
      <c r="E446" s="3" t="s">
        <v>7</v>
      </c>
      <c r="I446" s="4"/>
      <c r="J446" s="3"/>
      <c r="K446" s="3"/>
      <c r="L446" s="3"/>
      <c r="M446" s="3"/>
      <c r="N446" s="3"/>
    </row>
    <row r="447" spans="1:14" ht="15.6" customHeight="1" x14ac:dyDescent="0.3">
      <c r="A447" s="4">
        <v>45762</v>
      </c>
      <c r="B447" s="3" t="s">
        <v>36</v>
      </c>
      <c r="C447" s="3">
        <v>110</v>
      </c>
      <c r="D447" s="3" t="s">
        <v>6</v>
      </c>
      <c r="E447" s="3" t="s">
        <v>7</v>
      </c>
      <c r="I447" s="4"/>
      <c r="J447" s="3"/>
      <c r="K447" s="3"/>
      <c r="L447" s="3"/>
      <c r="M447" s="3"/>
      <c r="N447" s="3"/>
    </row>
    <row r="448" spans="1:14" ht="15.6" customHeight="1" x14ac:dyDescent="0.3">
      <c r="A448" s="4">
        <v>45763</v>
      </c>
      <c r="B448" s="3" t="s">
        <v>36</v>
      </c>
      <c r="C448" s="3">
        <v>180</v>
      </c>
      <c r="D448" s="3" t="s">
        <v>8</v>
      </c>
      <c r="E448" s="3" t="s">
        <v>7</v>
      </c>
      <c r="I448" s="4"/>
      <c r="J448" s="3"/>
      <c r="K448" s="3"/>
      <c r="L448" s="3"/>
      <c r="M448" s="3"/>
      <c r="N448" s="3"/>
    </row>
    <row r="449" spans="1:14" ht="15.6" customHeight="1" x14ac:dyDescent="0.3">
      <c r="A449" s="4">
        <v>45763</v>
      </c>
      <c r="B449" s="3" t="s">
        <v>5</v>
      </c>
      <c r="C449" s="3">
        <v>60</v>
      </c>
      <c r="D449" s="3" t="s">
        <v>8</v>
      </c>
      <c r="E449" s="3" t="s">
        <v>7</v>
      </c>
      <c r="I449" s="4"/>
      <c r="J449" s="3"/>
      <c r="K449" s="3"/>
      <c r="L449" s="3"/>
      <c r="M449" s="3"/>
      <c r="N449" s="3"/>
    </row>
    <row r="450" spans="1:14" ht="15.6" customHeight="1" x14ac:dyDescent="0.3">
      <c r="A450" s="4">
        <v>45763</v>
      </c>
      <c r="B450" s="3" t="s">
        <v>5</v>
      </c>
      <c r="C450" s="3">
        <v>50</v>
      </c>
      <c r="D450" s="3" t="s">
        <v>8</v>
      </c>
      <c r="E450" s="3" t="s">
        <v>7</v>
      </c>
      <c r="I450" s="4"/>
      <c r="J450" s="3"/>
      <c r="K450" s="3"/>
      <c r="L450" s="3"/>
      <c r="M450" s="3"/>
      <c r="N450" s="3"/>
    </row>
    <row r="451" spans="1:14" ht="15.6" customHeight="1" x14ac:dyDescent="0.3">
      <c r="A451" s="4">
        <v>45764</v>
      </c>
      <c r="B451" s="3" t="s">
        <v>36</v>
      </c>
      <c r="C451" s="3">
        <v>120</v>
      </c>
      <c r="D451" s="3" t="s">
        <v>8</v>
      </c>
      <c r="E451" s="3" t="s">
        <v>7</v>
      </c>
      <c r="I451" s="4"/>
      <c r="J451" s="3"/>
      <c r="K451" s="3"/>
      <c r="L451" s="3"/>
      <c r="M451" s="3"/>
      <c r="N451" s="3"/>
    </row>
    <row r="452" spans="1:14" ht="15.6" customHeight="1" x14ac:dyDescent="0.3">
      <c r="A452" s="4">
        <v>45764</v>
      </c>
      <c r="B452" s="3" t="s">
        <v>36</v>
      </c>
      <c r="C452" s="3">
        <v>120</v>
      </c>
      <c r="D452" s="3" t="s">
        <v>8</v>
      </c>
      <c r="E452" s="3" t="s">
        <v>7</v>
      </c>
      <c r="I452" s="4"/>
      <c r="J452" s="3"/>
      <c r="K452" s="6"/>
      <c r="L452" s="3"/>
      <c r="M452" s="3"/>
      <c r="N452" s="3"/>
    </row>
    <row r="453" spans="1:14" ht="15.6" customHeight="1" x14ac:dyDescent="0.3">
      <c r="A453" s="4">
        <v>45764</v>
      </c>
      <c r="B453" s="3" t="s">
        <v>5</v>
      </c>
      <c r="C453" s="3">
        <v>60</v>
      </c>
      <c r="D453" s="3" t="s">
        <v>8</v>
      </c>
      <c r="E453" s="3" t="s">
        <v>7</v>
      </c>
      <c r="I453" s="4"/>
      <c r="J453" s="3"/>
      <c r="K453" s="6"/>
      <c r="L453" s="3"/>
      <c r="M453" s="3"/>
      <c r="N453" s="3"/>
    </row>
    <row r="454" spans="1:14" ht="15.6" customHeight="1" x14ac:dyDescent="0.3">
      <c r="A454" s="4">
        <v>45764</v>
      </c>
      <c r="B454" s="3" t="s">
        <v>36</v>
      </c>
      <c r="C454" s="3">
        <v>140</v>
      </c>
      <c r="D454" s="3" t="s">
        <v>6</v>
      </c>
      <c r="E454" s="3" t="s">
        <v>7</v>
      </c>
      <c r="I454" s="4"/>
      <c r="J454" s="3"/>
      <c r="K454" s="3"/>
      <c r="L454" s="3"/>
      <c r="M454" s="3"/>
      <c r="N454" s="3"/>
    </row>
    <row r="455" spans="1:14" ht="15.6" customHeight="1" x14ac:dyDescent="0.3">
      <c r="A455" s="4">
        <v>45768</v>
      </c>
      <c r="B455" s="3" t="s">
        <v>81</v>
      </c>
      <c r="C455" s="3">
        <v>800</v>
      </c>
      <c r="D455" s="3" t="s">
        <v>8</v>
      </c>
      <c r="E455" s="3" t="s">
        <v>7</v>
      </c>
      <c r="I455" s="4"/>
      <c r="J455" s="3"/>
      <c r="K455" s="3"/>
      <c r="L455" s="3"/>
      <c r="M455" s="3"/>
      <c r="N455" s="3"/>
    </row>
    <row r="456" spans="1:14" ht="15.6" customHeight="1" x14ac:dyDescent="0.3">
      <c r="A456" s="4">
        <v>45768</v>
      </c>
      <c r="B456" s="3" t="s">
        <v>16</v>
      </c>
      <c r="C456" s="3">
        <v>500</v>
      </c>
      <c r="D456" s="3" t="s">
        <v>8</v>
      </c>
      <c r="E456" s="3" t="s">
        <v>7</v>
      </c>
      <c r="I456" s="4"/>
      <c r="J456" s="3"/>
      <c r="K456" s="6"/>
      <c r="L456" s="3"/>
      <c r="M456" s="3"/>
      <c r="N456" s="3"/>
    </row>
    <row r="457" spans="1:14" ht="15.6" customHeight="1" x14ac:dyDescent="0.3">
      <c r="A457" s="4">
        <v>45768</v>
      </c>
      <c r="B457" s="3" t="s">
        <v>82</v>
      </c>
      <c r="C457" s="3">
        <v>960</v>
      </c>
      <c r="D457" s="3" t="s">
        <v>8</v>
      </c>
      <c r="E457" s="3" t="s">
        <v>7</v>
      </c>
      <c r="I457" s="4"/>
      <c r="J457" s="3"/>
      <c r="K457" s="6"/>
      <c r="L457" s="3"/>
      <c r="M457" s="3"/>
      <c r="N457" s="3"/>
    </row>
    <row r="458" spans="1:14" ht="15.6" customHeight="1" x14ac:dyDescent="0.3">
      <c r="A458" s="4">
        <v>45769</v>
      </c>
      <c r="B458" s="3" t="s">
        <v>36</v>
      </c>
      <c r="C458" s="3">
        <v>120</v>
      </c>
      <c r="D458" s="3" t="s">
        <v>6</v>
      </c>
      <c r="E458" s="3" t="s">
        <v>7</v>
      </c>
      <c r="I458" s="4"/>
      <c r="J458" s="3"/>
      <c r="K458" s="3"/>
      <c r="L458" s="3"/>
      <c r="M458" s="3"/>
      <c r="N458" s="3"/>
    </row>
    <row r="459" spans="1:14" ht="15.6" customHeight="1" x14ac:dyDescent="0.3">
      <c r="A459" s="4">
        <v>45770</v>
      </c>
      <c r="B459" s="3" t="s">
        <v>5</v>
      </c>
      <c r="C459" s="3">
        <v>60</v>
      </c>
      <c r="D459" s="3" t="s">
        <v>8</v>
      </c>
      <c r="E459" s="3" t="s">
        <v>7</v>
      </c>
      <c r="I459" s="4"/>
      <c r="J459" s="3"/>
      <c r="K459" s="3"/>
      <c r="L459" s="3"/>
      <c r="M459" s="3"/>
      <c r="N459" s="3"/>
    </row>
    <row r="460" spans="1:14" ht="15.6" customHeight="1" x14ac:dyDescent="0.3">
      <c r="A460" s="4">
        <v>45770</v>
      </c>
      <c r="B460" s="3" t="s">
        <v>5</v>
      </c>
      <c r="C460" s="3">
        <v>60</v>
      </c>
      <c r="D460" s="3" t="s">
        <v>8</v>
      </c>
      <c r="E460" s="3" t="s">
        <v>7</v>
      </c>
      <c r="I460" s="4"/>
      <c r="J460" s="3"/>
      <c r="K460" s="3"/>
      <c r="L460" s="3"/>
      <c r="M460" s="3"/>
      <c r="N460" s="3"/>
    </row>
    <row r="461" spans="1:14" ht="15.6" customHeight="1" x14ac:dyDescent="0.3">
      <c r="A461" s="4">
        <v>45770</v>
      </c>
      <c r="B461" s="3" t="s">
        <v>83</v>
      </c>
      <c r="C461" s="3">
        <v>400</v>
      </c>
      <c r="D461" s="3" t="s">
        <v>8</v>
      </c>
      <c r="E461" s="3" t="s">
        <v>7</v>
      </c>
      <c r="I461" s="4"/>
      <c r="J461" s="3"/>
      <c r="K461" s="3"/>
      <c r="L461" s="3"/>
      <c r="M461" s="3"/>
      <c r="N461" s="3"/>
    </row>
    <row r="462" spans="1:14" ht="15.6" customHeight="1" x14ac:dyDescent="0.3">
      <c r="A462" s="4">
        <v>45771</v>
      </c>
      <c r="B462" s="3" t="s">
        <v>5</v>
      </c>
      <c r="C462" s="3">
        <v>120</v>
      </c>
      <c r="D462" s="3" t="s">
        <v>8</v>
      </c>
      <c r="E462" s="3" t="s">
        <v>7</v>
      </c>
      <c r="I462" s="4"/>
      <c r="J462" s="3"/>
      <c r="K462" s="3"/>
      <c r="L462" s="3"/>
      <c r="M462" s="3"/>
      <c r="N462" s="3"/>
    </row>
    <row r="463" spans="1:14" ht="15.6" customHeight="1" x14ac:dyDescent="0.3">
      <c r="A463" s="4">
        <v>45772</v>
      </c>
      <c r="B463" s="3" t="s">
        <v>14</v>
      </c>
      <c r="C463" s="3">
        <v>700</v>
      </c>
      <c r="D463" s="3" t="s">
        <v>6</v>
      </c>
      <c r="E463" s="3" t="s">
        <v>7</v>
      </c>
      <c r="I463" s="4"/>
      <c r="J463" s="3"/>
      <c r="K463" s="3"/>
      <c r="L463" s="3"/>
      <c r="M463" s="3"/>
      <c r="N463" s="3"/>
    </row>
    <row r="464" spans="1:14" ht="15.6" customHeight="1" x14ac:dyDescent="0.3">
      <c r="A464" s="4">
        <v>45773</v>
      </c>
      <c r="B464" s="3" t="s">
        <v>84</v>
      </c>
      <c r="C464" s="3">
        <v>360</v>
      </c>
      <c r="D464" s="3" t="s">
        <v>8</v>
      </c>
      <c r="E464" s="3" t="s">
        <v>7</v>
      </c>
      <c r="I464" s="4"/>
      <c r="J464" s="3"/>
      <c r="K464" s="3"/>
      <c r="L464" s="3"/>
      <c r="M464" s="3"/>
      <c r="N464" s="3"/>
    </row>
    <row r="465" spans="1:14" ht="15.6" customHeight="1" x14ac:dyDescent="0.3">
      <c r="A465" s="4">
        <v>45773</v>
      </c>
      <c r="B465" s="3" t="s">
        <v>5</v>
      </c>
      <c r="C465" s="3">
        <v>60</v>
      </c>
      <c r="D465" s="3" t="s">
        <v>8</v>
      </c>
      <c r="E465" s="3" t="s">
        <v>7</v>
      </c>
      <c r="I465" s="4"/>
      <c r="J465" s="3"/>
      <c r="K465" s="3"/>
      <c r="L465" s="3"/>
      <c r="M465" s="3"/>
      <c r="N465" s="3"/>
    </row>
    <row r="466" spans="1:14" ht="15.6" customHeight="1" x14ac:dyDescent="0.3">
      <c r="A466" s="4">
        <v>45773</v>
      </c>
      <c r="B466" s="3" t="s">
        <v>36</v>
      </c>
      <c r="C466" s="3">
        <v>140</v>
      </c>
      <c r="D466" s="3" t="s">
        <v>8</v>
      </c>
      <c r="E466" s="3" t="s">
        <v>7</v>
      </c>
      <c r="I466" s="4"/>
      <c r="J466" s="3"/>
      <c r="K466" s="3"/>
      <c r="L466" s="3"/>
      <c r="M466" s="3"/>
      <c r="N466" s="3"/>
    </row>
    <row r="467" spans="1:14" ht="15.6" customHeight="1" x14ac:dyDescent="0.3">
      <c r="A467" s="4">
        <v>45776</v>
      </c>
      <c r="B467" s="3" t="s">
        <v>30</v>
      </c>
      <c r="C467" s="3">
        <v>200</v>
      </c>
      <c r="D467" s="3" t="s">
        <v>6</v>
      </c>
      <c r="E467" s="3" t="s">
        <v>7</v>
      </c>
      <c r="I467" s="4"/>
      <c r="J467" s="3"/>
      <c r="K467" s="3"/>
      <c r="L467" s="3"/>
      <c r="M467" s="3"/>
      <c r="N467" s="3"/>
    </row>
    <row r="468" spans="1:14" ht="15.6" customHeight="1" x14ac:dyDescent="0.3">
      <c r="A468" s="4">
        <v>45778</v>
      </c>
      <c r="B468" s="3" t="s">
        <v>54</v>
      </c>
      <c r="C468" s="3">
        <v>500</v>
      </c>
      <c r="D468" s="3" t="s">
        <v>8</v>
      </c>
      <c r="E468" s="3" t="s">
        <v>7</v>
      </c>
      <c r="I468" s="4"/>
      <c r="J468" s="3"/>
      <c r="K468" s="3"/>
      <c r="L468" s="3"/>
      <c r="M468" s="3"/>
      <c r="N468" s="3"/>
    </row>
    <row r="469" spans="1:14" ht="15.6" customHeight="1" x14ac:dyDescent="0.3">
      <c r="A469" s="4">
        <v>45779</v>
      </c>
      <c r="B469" s="3" t="s">
        <v>30</v>
      </c>
      <c r="C469" s="3">
        <v>300</v>
      </c>
      <c r="D469" s="3" t="s">
        <v>8</v>
      </c>
      <c r="E469" s="3" t="s">
        <v>7</v>
      </c>
      <c r="I469" s="4"/>
      <c r="J469" s="3"/>
      <c r="K469" s="3"/>
      <c r="L469" s="3"/>
      <c r="M469" s="3"/>
      <c r="N469" s="3"/>
    </row>
    <row r="470" spans="1:14" ht="15.6" customHeight="1" x14ac:dyDescent="0.3">
      <c r="A470" s="4">
        <v>45779</v>
      </c>
      <c r="B470" s="3" t="s">
        <v>12</v>
      </c>
      <c r="C470" s="3">
        <v>400</v>
      </c>
      <c r="D470" s="3" t="s">
        <v>8</v>
      </c>
      <c r="E470" s="3" t="s">
        <v>7</v>
      </c>
      <c r="I470" s="4"/>
      <c r="J470" s="3"/>
      <c r="K470" s="3"/>
      <c r="L470" s="3"/>
      <c r="M470" s="3"/>
      <c r="N470" s="3"/>
    </row>
    <row r="471" spans="1:14" ht="15.6" customHeight="1" x14ac:dyDescent="0.3">
      <c r="A471" s="4">
        <v>45780</v>
      </c>
      <c r="B471" s="3" t="s">
        <v>30</v>
      </c>
      <c r="C471" s="66">
        <v>860</v>
      </c>
      <c r="D471" s="3" t="s">
        <v>8</v>
      </c>
      <c r="E471" s="3" t="s">
        <v>7</v>
      </c>
      <c r="I471" s="4"/>
      <c r="J471" s="3"/>
      <c r="K471" s="3"/>
      <c r="L471" s="3"/>
      <c r="M471" s="3"/>
      <c r="N471" s="3"/>
    </row>
    <row r="472" spans="1:14" ht="15.6" customHeight="1" x14ac:dyDescent="0.3">
      <c r="A472" s="4">
        <v>45780</v>
      </c>
      <c r="B472" s="3" t="s">
        <v>85</v>
      </c>
      <c r="C472" s="66"/>
      <c r="D472" s="3" t="s">
        <v>8</v>
      </c>
      <c r="E472" s="3" t="s">
        <v>7</v>
      </c>
      <c r="I472" s="4"/>
      <c r="J472" s="3"/>
      <c r="K472" s="3"/>
      <c r="L472" s="3"/>
      <c r="M472" s="3"/>
      <c r="N472" s="3"/>
    </row>
    <row r="473" spans="1:14" ht="15.6" customHeight="1" x14ac:dyDescent="0.3">
      <c r="A473" s="4">
        <v>45783</v>
      </c>
      <c r="B473" s="3" t="s">
        <v>39</v>
      </c>
      <c r="C473" s="3">
        <v>1100</v>
      </c>
      <c r="D473" s="3" t="s">
        <v>8</v>
      </c>
      <c r="E473" s="3" t="s">
        <v>7</v>
      </c>
      <c r="I473" s="4"/>
      <c r="J473" s="3"/>
      <c r="K473" s="3"/>
      <c r="L473" s="3"/>
      <c r="M473" s="3"/>
      <c r="N473" s="3"/>
    </row>
    <row r="474" spans="1:14" ht="15.6" customHeight="1" x14ac:dyDescent="0.3">
      <c r="A474" s="4">
        <v>45783</v>
      </c>
      <c r="B474" s="3" t="s">
        <v>5</v>
      </c>
      <c r="C474" s="3">
        <v>60</v>
      </c>
      <c r="D474" s="3" t="s">
        <v>8</v>
      </c>
      <c r="E474" s="3" t="s">
        <v>7</v>
      </c>
      <c r="I474" s="4"/>
      <c r="J474" s="3"/>
      <c r="K474" s="3"/>
      <c r="L474" s="3"/>
      <c r="M474" s="3"/>
      <c r="N474" s="3"/>
    </row>
    <row r="475" spans="1:14" ht="15.6" customHeight="1" x14ac:dyDescent="0.3">
      <c r="A475" s="4">
        <v>45783</v>
      </c>
      <c r="B475" s="3" t="s">
        <v>14</v>
      </c>
      <c r="C475" s="3">
        <v>700</v>
      </c>
      <c r="D475" s="3" t="s">
        <v>8</v>
      </c>
      <c r="E475" s="3" t="s">
        <v>7</v>
      </c>
      <c r="I475" s="4"/>
      <c r="J475" s="3"/>
      <c r="K475" s="3"/>
      <c r="L475" s="3"/>
      <c r="M475" s="3"/>
      <c r="N475" s="3"/>
    </row>
    <row r="476" spans="1:14" ht="15.6" customHeight="1" x14ac:dyDescent="0.3">
      <c r="A476" s="4">
        <v>45786</v>
      </c>
      <c r="B476" s="3" t="s">
        <v>5</v>
      </c>
      <c r="C476" s="3">
        <v>100</v>
      </c>
      <c r="D476" s="3" t="s">
        <v>6</v>
      </c>
      <c r="E476" s="3" t="s">
        <v>7</v>
      </c>
      <c r="I476" s="4"/>
      <c r="J476" s="3"/>
      <c r="K476" s="3"/>
      <c r="L476" s="3"/>
      <c r="M476" s="3"/>
      <c r="N476" s="3"/>
    </row>
    <row r="477" spans="1:14" ht="15.6" customHeight="1" x14ac:dyDescent="0.3">
      <c r="A477" s="4">
        <v>45787</v>
      </c>
      <c r="B477" s="3" t="s">
        <v>18</v>
      </c>
      <c r="C477" s="3">
        <v>750</v>
      </c>
      <c r="D477" s="3" t="s">
        <v>8</v>
      </c>
      <c r="E477" s="3" t="s">
        <v>7</v>
      </c>
      <c r="I477" s="4"/>
      <c r="J477" s="3"/>
      <c r="K477" s="3"/>
      <c r="L477" s="3"/>
      <c r="M477" s="3"/>
      <c r="N477" s="3"/>
    </row>
    <row r="478" spans="1:14" ht="15.6" customHeight="1" x14ac:dyDescent="0.3">
      <c r="A478" s="4">
        <v>45788</v>
      </c>
      <c r="B478" s="3" t="s">
        <v>86</v>
      </c>
      <c r="C478" s="3">
        <v>1400</v>
      </c>
      <c r="D478" s="3" t="s">
        <v>8</v>
      </c>
      <c r="E478" s="3" t="s">
        <v>7</v>
      </c>
      <c r="I478" s="4"/>
      <c r="J478" s="3"/>
      <c r="K478" s="3"/>
      <c r="L478" s="3"/>
      <c r="M478" s="3"/>
      <c r="N478" s="3"/>
    </row>
    <row r="479" spans="1:14" ht="15.6" customHeight="1" x14ac:dyDescent="0.3">
      <c r="A479" s="4">
        <v>45789</v>
      </c>
      <c r="B479" s="3" t="s">
        <v>48</v>
      </c>
      <c r="C479" s="3">
        <v>800</v>
      </c>
      <c r="D479" s="3" t="s">
        <v>8</v>
      </c>
      <c r="E479" s="3" t="s">
        <v>7</v>
      </c>
      <c r="I479" s="4"/>
      <c r="J479" s="3"/>
      <c r="K479" s="3"/>
      <c r="L479" s="3"/>
      <c r="M479" s="3"/>
      <c r="N479" s="3"/>
    </row>
    <row r="480" spans="1:14" ht="15.6" customHeight="1" x14ac:dyDescent="0.3">
      <c r="A480" s="4">
        <v>45789</v>
      </c>
      <c r="B480" s="3" t="s">
        <v>34</v>
      </c>
      <c r="C480" s="3">
        <v>800</v>
      </c>
      <c r="D480" s="3" t="s">
        <v>8</v>
      </c>
      <c r="E480" s="3" t="s">
        <v>7</v>
      </c>
      <c r="I480" s="4"/>
      <c r="J480" s="3"/>
      <c r="K480" s="3"/>
      <c r="L480" s="3"/>
      <c r="M480" s="3"/>
      <c r="N480" s="3"/>
    </row>
    <row r="481" spans="1:14" ht="15.6" customHeight="1" x14ac:dyDescent="0.3">
      <c r="A481" s="4">
        <v>45791</v>
      </c>
      <c r="B481" s="3" t="s">
        <v>36</v>
      </c>
      <c r="C481" s="3">
        <v>120</v>
      </c>
      <c r="D481" s="3" t="s">
        <v>6</v>
      </c>
      <c r="E481" s="3" t="s">
        <v>7</v>
      </c>
      <c r="I481" s="4"/>
      <c r="J481" s="3"/>
      <c r="K481" s="3"/>
      <c r="L481" s="3"/>
      <c r="M481" s="3"/>
      <c r="N481" s="3"/>
    </row>
    <row r="482" spans="1:14" ht="15.6" customHeight="1" x14ac:dyDescent="0.3">
      <c r="A482" s="4">
        <v>45792</v>
      </c>
      <c r="B482" s="3" t="s">
        <v>51</v>
      </c>
      <c r="C482" s="3">
        <v>900</v>
      </c>
      <c r="D482" s="3" t="s">
        <v>8</v>
      </c>
      <c r="E482" s="3" t="s">
        <v>7</v>
      </c>
      <c r="I482" s="4"/>
      <c r="J482" s="3"/>
      <c r="K482" s="3"/>
      <c r="L482" s="3"/>
      <c r="M482" s="3"/>
      <c r="N482" s="3"/>
    </row>
    <row r="483" spans="1:14" ht="15.6" customHeight="1" x14ac:dyDescent="0.3">
      <c r="A483" s="4">
        <v>45793</v>
      </c>
      <c r="B483" s="3" t="s">
        <v>31</v>
      </c>
      <c r="C483" s="3">
        <v>1300</v>
      </c>
      <c r="D483" s="3" t="s">
        <v>8</v>
      </c>
      <c r="E483" s="3" t="s">
        <v>7</v>
      </c>
      <c r="I483" s="4"/>
      <c r="J483" s="3"/>
      <c r="K483" s="3"/>
      <c r="L483" s="3"/>
      <c r="M483" s="3"/>
      <c r="N483" s="3"/>
    </row>
    <row r="484" spans="1:14" ht="15.6" customHeight="1" x14ac:dyDescent="0.3">
      <c r="A484" s="4">
        <v>45793</v>
      </c>
      <c r="B484" s="3" t="s">
        <v>87</v>
      </c>
      <c r="C484" s="3">
        <v>1000</v>
      </c>
      <c r="D484" s="3" t="s">
        <v>8</v>
      </c>
      <c r="E484" s="3" t="s">
        <v>7</v>
      </c>
      <c r="I484" s="4"/>
      <c r="J484" s="3"/>
      <c r="K484" s="3"/>
      <c r="L484" s="3"/>
      <c r="M484" s="3"/>
      <c r="N484" s="3"/>
    </row>
    <row r="485" spans="1:14" ht="15.6" customHeight="1" x14ac:dyDescent="0.3">
      <c r="A485" s="4">
        <v>45795</v>
      </c>
      <c r="B485" s="3" t="s">
        <v>36</v>
      </c>
      <c r="C485" s="3">
        <v>120</v>
      </c>
      <c r="D485" s="3" t="s">
        <v>8</v>
      </c>
      <c r="E485" s="3" t="s">
        <v>7</v>
      </c>
      <c r="I485" s="4"/>
      <c r="J485" s="3"/>
      <c r="K485" s="3"/>
      <c r="L485" s="3"/>
      <c r="M485" s="3"/>
      <c r="N485" s="3"/>
    </row>
    <row r="486" spans="1:14" ht="15.6" customHeight="1" x14ac:dyDescent="0.3">
      <c r="A486" s="4">
        <v>45796</v>
      </c>
      <c r="B486" s="3" t="s">
        <v>85</v>
      </c>
      <c r="C486" s="3">
        <v>360</v>
      </c>
      <c r="D486" s="3" t="s">
        <v>6</v>
      </c>
      <c r="E486" s="3" t="s">
        <v>7</v>
      </c>
      <c r="I486" s="4"/>
      <c r="J486" s="3"/>
      <c r="K486" s="3"/>
      <c r="L486" s="3"/>
      <c r="M486" s="3"/>
      <c r="N486" s="3"/>
    </row>
    <row r="487" spans="1:14" ht="15.6" customHeight="1" x14ac:dyDescent="0.3">
      <c r="A487" s="4">
        <v>45797</v>
      </c>
      <c r="B487" s="3" t="s">
        <v>14</v>
      </c>
      <c r="C487" s="66">
        <v>2000</v>
      </c>
      <c r="D487" s="3" t="s">
        <v>8</v>
      </c>
      <c r="E487" s="3" t="s">
        <v>7</v>
      </c>
      <c r="I487" s="4"/>
      <c r="J487" s="3"/>
      <c r="K487" s="3"/>
      <c r="L487" s="3"/>
      <c r="M487" s="3"/>
      <c r="N487" s="3"/>
    </row>
    <row r="488" spans="1:14" ht="15.6" customHeight="1" x14ac:dyDescent="0.3">
      <c r="A488" s="4">
        <v>45797</v>
      </c>
      <c r="B488" s="3" t="s">
        <v>39</v>
      </c>
      <c r="C488" s="66"/>
      <c r="D488" s="3" t="s">
        <v>8</v>
      </c>
      <c r="E488" s="3" t="s">
        <v>7</v>
      </c>
      <c r="I488" s="4"/>
      <c r="J488" s="3"/>
      <c r="K488" s="6"/>
      <c r="L488" s="3"/>
      <c r="M488" s="3"/>
      <c r="N488" s="3"/>
    </row>
    <row r="489" spans="1:14" ht="15.6" customHeight="1" x14ac:dyDescent="0.3">
      <c r="A489" s="4">
        <v>45799</v>
      </c>
      <c r="B489" s="3" t="s">
        <v>5</v>
      </c>
      <c r="C489" s="3">
        <v>60</v>
      </c>
      <c r="D489" s="3" t="s">
        <v>6</v>
      </c>
      <c r="E489" s="3" t="s">
        <v>7</v>
      </c>
      <c r="I489" s="4"/>
      <c r="J489" s="3"/>
      <c r="K489" s="6"/>
      <c r="L489" s="3"/>
      <c r="M489" s="3"/>
      <c r="N489" s="3"/>
    </row>
    <row r="490" spans="1:14" ht="15.6" customHeight="1" x14ac:dyDescent="0.3">
      <c r="A490" s="4">
        <v>45800</v>
      </c>
      <c r="B490" s="3" t="s">
        <v>36</v>
      </c>
      <c r="C490" s="3">
        <v>120</v>
      </c>
      <c r="D490" s="3" t="s">
        <v>8</v>
      </c>
      <c r="E490" s="3" t="s">
        <v>7</v>
      </c>
      <c r="I490" s="4"/>
      <c r="J490" s="3"/>
      <c r="K490" s="6"/>
      <c r="L490" s="3"/>
      <c r="M490" s="3"/>
      <c r="N490" s="3"/>
    </row>
    <row r="491" spans="1:14" ht="15.6" customHeight="1" x14ac:dyDescent="0.3">
      <c r="A491" s="4">
        <v>45800</v>
      </c>
      <c r="B491" s="3" t="s">
        <v>14</v>
      </c>
      <c r="C491" s="3">
        <v>700</v>
      </c>
      <c r="D491" s="3" t="s">
        <v>6</v>
      </c>
      <c r="E491" s="3" t="s">
        <v>7</v>
      </c>
      <c r="I491" s="4"/>
      <c r="J491" s="3"/>
      <c r="K491" s="6"/>
      <c r="L491" s="3"/>
      <c r="M491" s="3"/>
      <c r="N491" s="3"/>
    </row>
    <row r="492" spans="1:14" ht="15.6" customHeight="1" x14ac:dyDescent="0.3">
      <c r="A492" s="4">
        <v>45802</v>
      </c>
      <c r="B492" s="3" t="s">
        <v>5</v>
      </c>
      <c r="C492" s="3">
        <v>60</v>
      </c>
      <c r="D492" s="3" t="s">
        <v>8</v>
      </c>
      <c r="E492" s="3" t="s">
        <v>7</v>
      </c>
      <c r="I492" s="4"/>
      <c r="J492" s="3"/>
      <c r="K492" s="3"/>
      <c r="L492" s="3"/>
      <c r="M492" s="3"/>
      <c r="N492" s="3"/>
    </row>
    <row r="493" spans="1:14" ht="15.6" customHeight="1" x14ac:dyDescent="0.3">
      <c r="A493" s="4">
        <v>45803</v>
      </c>
      <c r="B493" s="3" t="s">
        <v>39</v>
      </c>
      <c r="C493" s="3">
        <v>1100</v>
      </c>
      <c r="D493" s="3" t="s">
        <v>8</v>
      </c>
      <c r="E493" s="3" t="s">
        <v>7</v>
      </c>
      <c r="I493" s="4"/>
      <c r="J493" s="3"/>
      <c r="K493" s="3"/>
      <c r="L493" s="3"/>
      <c r="M493" s="3"/>
      <c r="N493" s="3"/>
    </row>
    <row r="494" spans="1:14" ht="15.6" customHeight="1" x14ac:dyDescent="0.3">
      <c r="A494" s="4">
        <v>45804</v>
      </c>
      <c r="B494" s="3" t="s">
        <v>14</v>
      </c>
      <c r="C494" s="3">
        <v>700</v>
      </c>
      <c r="D494" s="3" t="s">
        <v>8</v>
      </c>
      <c r="E494" s="3" t="s">
        <v>7</v>
      </c>
      <c r="I494" s="4"/>
      <c r="J494" s="3"/>
      <c r="K494" s="3"/>
      <c r="L494" s="3"/>
      <c r="M494" s="3"/>
      <c r="N494" s="3"/>
    </row>
    <row r="495" spans="1:14" ht="15.6" customHeight="1" x14ac:dyDescent="0.3">
      <c r="A495" s="4">
        <v>45806</v>
      </c>
      <c r="B495" s="3" t="s">
        <v>5</v>
      </c>
      <c r="C495" s="3">
        <v>180</v>
      </c>
      <c r="D495" s="3" t="s">
        <v>8</v>
      </c>
      <c r="E495" s="3" t="s">
        <v>7</v>
      </c>
      <c r="I495" s="4"/>
      <c r="J495" s="3"/>
      <c r="K495" s="3"/>
      <c r="L495" s="3"/>
      <c r="M495" s="3"/>
      <c r="N495" s="3"/>
    </row>
    <row r="496" spans="1:14" ht="15.6" customHeight="1" x14ac:dyDescent="0.3">
      <c r="A496" s="4">
        <v>45779</v>
      </c>
      <c r="B496" s="3" t="s">
        <v>76</v>
      </c>
      <c r="C496" s="3">
        <v>400</v>
      </c>
      <c r="D496" s="3" t="s">
        <v>8</v>
      </c>
      <c r="E496" s="3" t="s">
        <v>60</v>
      </c>
      <c r="I496" s="4"/>
      <c r="J496" s="3"/>
      <c r="K496" s="3"/>
      <c r="L496" s="3"/>
      <c r="M496" s="3"/>
      <c r="N496" s="3"/>
    </row>
    <row r="497" spans="1:14" ht="15.6" customHeight="1" x14ac:dyDescent="0.3">
      <c r="A497" s="4">
        <v>45787</v>
      </c>
      <c r="B497" s="3" t="s">
        <v>72</v>
      </c>
      <c r="C497" s="3">
        <v>1700</v>
      </c>
      <c r="D497" s="3" t="s">
        <v>8</v>
      </c>
      <c r="E497" s="3" t="s">
        <v>60</v>
      </c>
      <c r="I497" s="4"/>
      <c r="J497" s="3"/>
      <c r="K497" s="3"/>
      <c r="L497" s="3"/>
      <c r="M497" s="3"/>
      <c r="N497" s="3"/>
    </row>
    <row r="498" spans="1:14" ht="15.6" customHeight="1" x14ac:dyDescent="0.3">
      <c r="A498" s="4">
        <v>45788</v>
      </c>
      <c r="B498" s="3" t="s">
        <v>76</v>
      </c>
      <c r="C498" s="3">
        <v>300</v>
      </c>
      <c r="D498" s="3" t="s">
        <v>8</v>
      </c>
      <c r="E498" s="3" t="s">
        <v>60</v>
      </c>
      <c r="I498" s="4"/>
      <c r="J498" s="3"/>
      <c r="K498" s="3"/>
      <c r="L498" s="3"/>
      <c r="M498" s="3"/>
      <c r="N498" s="3"/>
    </row>
    <row r="499" spans="1:14" ht="15.6" customHeight="1" x14ac:dyDescent="0.3">
      <c r="A499" s="4">
        <v>45788</v>
      </c>
      <c r="B499" s="3" t="s">
        <v>70</v>
      </c>
      <c r="C499" s="3">
        <v>120</v>
      </c>
      <c r="D499" s="3" t="s">
        <v>8</v>
      </c>
      <c r="E499" s="3" t="s">
        <v>60</v>
      </c>
      <c r="I499" s="4"/>
      <c r="J499" s="3"/>
      <c r="K499" s="3"/>
      <c r="L499" s="3"/>
      <c r="M499" s="3"/>
      <c r="N499" s="3"/>
    </row>
    <row r="500" spans="1:14" ht="15.6" customHeight="1" x14ac:dyDescent="0.3">
      <c r="A500" s="4">
        <v>45789</v>
      </c>
      <c r="B500" s="3" t="s">
        <v>59</v>
      </c>
      <c r="C500" s="3">
        <v>40</v>
      </c>
      <c r="D500" s="3" t="s">
        <v>8</v>
      </c>
      <c r="E500" s="3" t="s">
        <v>60</v>
      </c>
      <c r="I500" s="4"/>
      <c r="J500" s="3"/>
      <c r="K500" s="3"/>
      <c r="L500" s="3"/>
      <c r="M500" s="3"/>
      <c r="N500" s="3"/>
    </row>
    <row r="501" spans="1:14" ht="15.6" customHeight="1" x14ac:dyDescent="0.3">
      <c r="A501" s="4">
        <v>45792</v>
      </c>
      <c r="B501" s="3" t="s">
        <v>59</v>
      </c>
      <c r="C501" s="3">
        <v>200</v>
      </c>
      <c r="D501" s="3" t="s">
        <v>8</v>
      </c>
      <c r="E501" s="3" t="s">
        <v>60</v>
      </c>
      <c r="I501" s="4"/>
      <c r="J501" s="3"/>
      <c r="K501" s="3"/>
      <c r="L501" s="3"/>
      <c r="M501" s="3"/>
      <c r="N501" s="3"/>
    </row>
    <row r="502" spans="1:14" ht="15.6" customHeight="1" x14ac:dyDescent="0.3">
      <c r="A502" s="4">
        <v>45793</v>
      </c>
      <c r="B502" s="3" t="s">
        <v>59</v>
      </c>
      <c r="C502" s="3">
        <v>120</v>
      </c>
      <c r="D502" s="3" t="s">
        <v>6</v>
      </c>
      <c r="E502" s="3" t="s">
        <v>60</v>
      </c>
      <c r="I502" s="4"/>
      <c r="J502" s="3"/>
      <c r="K502" s="3"/>
      <c r="L502" s="3"/>
      <c r="M502" s="3"/>
      <c r="N502" s="3"/>
    </row>
    <row r="503" spans="1:14" ht="15.6" customHeight="1" x14ac:dyDescent="0.3">
      <c r="A503" s="4">
        <v>45795</v>
      </c>
      <c r="B503" s="3" t="s">
        <v>70</v>
      </c>
      <c r="C503" s="66">
        <v>540</v>
      </c>
      <c r="D503" s="3" t="s">
        <v>8</v>
      </c>
      <c r="E503" s="3" t="s">
        <v>60</v>
      </c>
      <c r="I503" s="4"/>
      <c r="J503" s="3"/>
      <c r="K503" s="3"/>
      <c r="L503" s="3"/>
      <c r="M503" s="3"/>
      <c r="N503" s="3"/>
    </row>
    <row r="504" spans="1:14" ht="15.6" customHeight="1" x14ac:dyDescent="0.3">
      <c r="A504" s="4">
        <v>45795</v>
      </c>
      <c r="B504" s="3" t="s">
        <v>76</v>
      </c>
      <c r="C504" s="66"/>
      <c r="D504" s="3" t="s">
        <v>8</v>
      </c>
      <c r="E504" s="3" t="s">
        <v>60</v>
      </c>
      <c r="I504" s="4"/>
      <c r="J504" s="3"/>
      <c r="K504" s="3"/>
      <c r="L504" s="3"/>
      <c r="M504" s="3"/>
      <c r="N504" s="3"/>
    </row>
    <row r="505" spans="1:14" ht="15.6" customHeight="1" x14ac:dyDescent="0.3">
      <c r="B505" s="3" t="s">
        <v>88</v>
      </c>
      <c r="C505" s="66">
        <v>1000</v>
      </c>
      <c r="D505" s="3" t="s">
        <v>8</v>
      </c>
      <c r="E505" s="3" t="s">
        <v>60</v>
      </c>
      <c r="I505" s="4"/>
      <c r="J505" s="3"/>
      <c r="K505" s="3"/>
      <c r="L505" s="3"/>
      <c r="M505" s="3"/>
      <c r="N505" s="3"/>
    </row>
    <row r="506" spans="1:14" ht="15.6" customHeight="1" x14ac:dyDescent="0.3">
      <c r="B506" s="3" t="s">
        <v>76</v>
      </c>
      <c r="C506" s="66"/>
      <c r="D506" s="3" t="s">
        <v>8</v>
      </c>
      <c r="E506" s="3" t="s">
        <v>60</v>
      </c>
      <c r="I506" s="4"/>
      <c r="J506" s="3"/>
      <c r="K506" s="3"/>
      <c r="L506" s="3"/>
      <c r="M506" s="3"/>
      <c r="N506" s="3"/>
    </row>
    <row r="507" spans="1:14" ht="15.6" customHeight="1" x14ac:dyDescent="0.3">
      <c r="A507" s="4">
        <v>45796</v>
      </c>
      <c r="B507" s="3" t="s">
        <v>89</v>
      </c>
      <c r="C507" s="66"/>
      <c r="D507" s="3" t="s">
        <v>8</v>
      </c>
      <c r="E507" s="3" t="s">
        <v>60</v>
      </c>
      <c r="I507" s="4"/>
      <c r="J507" s="3"/>
      <c r="K507" s="3"/>
      <c r="L507" s="3"/>
      <c r="M507" s="3"/>
      <c r="N507" s="3"/>
    </row>
    <row r="508" spans="1:14" ht="15.6" customHeight="1" x14ac:dyDescent="0.3">
      <c r="A508" s="4">
        <v>45797</v>
      </c>
      <c r="B508" s="3" t="s">
        <v>59</v>
      </c>
      <c r="C508" s="3">
        <v>150</v>
      </c>
      <c r="D508" s="3" t="s">
        <v>6</v>
      </c>
      <c r="E508" s="3" t="s">
        <v>60</v>
      </c>
      <c r="I508" s="4"/>
      <c r="J508" s="3"/>
      <c r="K508" s="3"/>
      <c r="L508" s="3"/>
      <c r="M508" s="3"/>
      <c r="N508" s="3"/>
    </row>
    <row r="509" spans="1:14" ht="15.6" customHeight="1" x14ac:dyDescent="0.3">
      <c r="A509" s="4">
        <v>45807</v>
      </c>
      <c r="B509" s="3" t="s">
        <v>59</v>
      </c>
      <c r="C509" s="3">
        <v>100</v>
      </c>
      <c r="D509" s="3" t="s">
        <v>8</v>
      </c>
      <c r="E509" s="3" t="s">
        <v>60</v>
      </c>
      <c r="I509" s="4"/>
      <c r="J509" s="3"/>
      <c r="K509" s="3"/>
      <c r="L509" s="3"/>
      <c r="M509" s="3"/>
      <c r="N509" s="3"/>
    </row>
    <row r="510" spans="1:14" ht="15.6" customHeight="1" x14ac:dyDescent="0.3">
      <c r="A510" s="4">
        <v>45808</v>
      </c>
      <c r="B510" s="3" t="s">
        <v>59</v>
      </c>
      <c r="C510" s="3">
        <v>200</v>
      </c>
      <c r="D510" s="3" t="s">
        <v>8</v>
      </c>
      <c r="E510" s="3" t="s">
        <v>60</v>
      </c>
      <c r="I510" s="4"/>
      <c r="J510" s="3"/>
      <c r="K510" s="3"/>
      <c r="L510" s="3"/>
      <c r="M510" s="3"/>
      <c r="N510" s="3"/>
    </row>
    <row r="511" spans="1:14" ht="15.6" customHeight="1" x14ac:dyDescent="0.3">
      <c r="A511" s="4">
        <v>45809</v>
      </c>
      <c r="B511" s="3" t="s">
        <v>5</v>
      </c>
      <c r="C511" s="3">
        <v>180</v>
      </c>
      <c r="D511" s="3" t="s">
        <v>6</v>
      </c>
      <c r="E511" s="3" t="s">
        <v>7</v>
      </c>
      <c r="I511" s="4"/>
      <c r="J511" s="3"/>
      <c r="K511" s="3"/>
      <c r="L511" s="3"/>
      <c r="M511" s="3"/>
      <c r="N511" s="3"/>
    </row>
    <row r="512" spans="1:14" ht="15.6" customHeight="1" x14ac:dyDescent="0.3">
      <c r="A512" s="4">
        <v>45811</v>
      </c>
      <c r="B512" s="3" t="s">
        <v>5</v>
      </c>
      <c r="C512" s="3">
        <v>50</v>
      </c>
      <c r="D512" s="3" t="s">
        <v>6</v>
      </c>
      <c r="E512" s="3" t="s">
        <v>7</v>
      </c>
      <c r="I512" s="4"/>
      <c r="J512" s="3"/>
      <c r="K512" s="3"/>
      <c r="L512" s="3"/>
      <c r="M512" s="3"/>
      <c r="N512" s="3"/>
    </row>
    <row r="513" spans="1:14" ht="15.6" customHeight="1" x14ac:dyDescent="0.3">
      <c r="A513" s="4">
        <v>45811</v>
      </c>
      <c r="B513" s="3" t="s">
        <v>43</v>
      </c>
      <c r="C513" s="3">
        <v>1200</v>
      </c>
      <c r="D513" s="3" t="s">
        <v>6</v>
      </c>
      <c r="E513" s="3" t="s">
        <v>7</v>
      </c>
      <c r="I513" s="4"/>
      <c r="J513" s="3"/>
      <c r="K513" s="3"/>
      <c r="L513" s="3"/>
      <c r="M513" s="3"/>
      <c r="N513" s="3"/>
    </row>
    <row r="514" spans="1:14" ht="15.6" customHeight="1" x14ac:dyDescent="0.3">
      <c r="A514" s="4">
        <v>45810</v>
      </c>
      <c r="B514" s="3" t="s">
        <v>76</v>
      </c>
      <c r="C514" s="3">
        <v>580</v>
      </c>
      <c r="D514" s="3" t="s">
        <v>6</v>
      </c>
      <c r="E514" s="3" t="s">
        <v>60</v>
      </c>
      <c r="I514" s="4"/>
      <c r="J514" s="3"/>
      <c r="K514" s="3"/>
      <c r="L514" s="3"/>
      <c r="M514" s="3"/>
      <c r="N514" s="3"/>
    </row>
    <row r="515" spans="1:14" ht="15.6" customHeight="1" x14ac:dyDescent="0.3">
      <c r="A515" s="4">
        <v>45812</v>
      </c>
      <c r="B515" s="3" t="s">
        <v>90</v>
      </c>
      <c r="C515" s="3">
        <v>1200</v>
      </c>
      <c r="D515" s="3" t="s">
        <v>8</v>
      </c>
      <c r="E515" s="3" t="s">
        <v>7</v>
      </c>
      <c r="I515" s="4"/>
      <c r="J515" s="3"/>
      <c r="K515" s="3"/>
      <c r="L515" s="3"/>
      <c r="M515" s="3"/>
      <c r="N515" s="3"/>
    </row>
    <row r="516" spans="1:14" ht="15.6" customHeight="1" x14ac:dyDescent="0.3">
      <c r="A516" s="4">
        <v>45812</v>
      </c>
      <c r="B516" s="3" t="s">
        <v>30</v>
      </c>
      <c r="C516" s="3">
        <v>500</v>
      </c>
      <c r="D516" s="3" t="s">
        <v>8</v>
      </c>
      <c r="E516" s="3" t="s">
        <v>7</v>
      </c>
      <c r="I516" s="4"/>
      <c r="J516" s="3"/>
      <c r="K516" s="3"/>
      <c r="L516" s="3"/>
      <c r="M516" s="3"/>
      <c r="N516" s="3"/>
    </row>
    <row r="517" spans="1:14" ht="15.6" customHeight="1" x14ac:dyDescent="0.3">
      <c r="A517" s="4">
        <v>45812</v>
      </c>
      <c r="B517" s="3" t="s">
        <v>14</v>
      </c>
      <c r="C517" s="3">
        <v>1300</v>
      </c>
      <c r="D517" s="3" t="s">
        <v>8</v>
      </c>
      <c r="E517" s="3" t="s">
        <v>7</v>
      </c>
      <c r="I517" s="4"/>
      <c r="J517" s="3"/>
      <c r="K517" s="3"/>
      <c r="L517" s="3"/>
      <c r="M517" s="3"/>
      <c r="N517" s="3"/>
    </row>
    <row r="518" spans="1:14" ht="15.6" customHeight="1" x14ac:dyDescent="0.3">
      <c r="A518" s="4">
        <v>45812</v>
      </c>
      <c r="B518" s="3" t="s">
        <v>11</v>
      </c>
      <c r="C518" s="3">
        <v>350</v>
      </c>
      <c r="D518" s="3" t="s">
        <v>8</v>
      </c>
      <c r="E518" s="3" t="s">
        <v>7</v>
      </c>
      <c r="I518" s="4"/>
      <c r="J518" s="3"/>
      <c r="K518" s="3"/>
      <c r="L518" s="3"/>
      <c r="M518" s="3"/>
      <c r="N518" s="3"/>
    </row>
    <row r="519" spans="1:14" ht="15.6" customHeight="1" x14ac:dyDescent="0.3">
      <c r="A519" s="4">
        <v>45812</v>
      </c>
      <c r="B519" s="3" t="s">
        <v>36</v>
      </c>
      <c r="C519" s="3">
        <v>200</v>
      </c>
      <c r="D519" s="3" t="s">
        <v>8</v>
      </c>
      <c r="E519" s="3" t="s">
        <v>7</v>
      </c>
      <c r="I519" s="4"/>
      <c r="J519" s="3"/>
      <c r="K519" s="3"/>
      <c r="L519" s="3"/>
      <c r="M519" s="3"/>
      <c r="N519" s="3"/>
    </row>
    <row r="520" spans="1:14" ht="15.6" customHeight="1" x14ac:dyDescent="0.3">
      <c r="A520" s="4">
        <v>45813</v>
      </c>
      <c r="B520" s="3" t="s">
        <v>11</v>
      </c>
      <c r="C520" s="3">
        <v>350</v>
      </c>
      <c r="D520" s="3" t="s">
        <v>8</v>
      </c>
      <c r="E520" s="3" t="s">
        <v>7</v>
      </c>
      <c r="I520" s="4"/>
      <c r="J520" s="3"/>
      <c r="K520" s="3"/>
      <c r="L520" s="3"/>
      <c r="M520" s="3"/>
      <c r="N520" s="3"/>
    </row>
    <row r="521" spans="1:14" ht="15.6" customHeight="1" x14ac:dyDescent="0.3">
      <c r="A521" s="4">
        <v>45813</v>
      </c>
      <c r="B521" s="3" t="s">
        <v>70</v>
      </c>
      <c r="C521" s="3">
        <v>220</v>
      </c>
      <c r="D521" s="3" t="s">
        <v>8</v>
      </c>
      <c r="E521" s="3" t="s">
        <v>60</v>
      </c>
      <c r="I521" s="4"/>
      <c r="J521" s="3"/>
      <c r="K521" s="3"/>
      <c r="L521" s="3"/>
      <c r="M521" s="3"/>
      <c r="N521" s="3"/>
    </row>
    <row r="522" spans="1:14" ht="15.6" customHeight="1" x14ac:dyDescent="0.3">
      <c r="A522" s="4">
        <v>45813</v>
      </c>
      <c r="B522" s="3" t="s">
        <v>91</v>
      </c>
      <c r="C522" s="3">
        <v>1900</v>
      </c>
      <c r="D522" s="3" t="s">
        <v>6</v>
      </c>
      <c r="E522" s="3" t="s">
        <v>7</v>
      </c>
      <c r="I522" s="4"/>
      <c r="J522" s="3"/>
      <c r="K522" s="3"/>
      <c r="L522" s="3"/>
      <c r="M522" s="3"/>
      <c r="N522" s="3"/>
    </row>
    <row r="523" spans="1:14" ht="15.6" customHeight="1" x14ac:dyDescent="0.3">
      <c r="A523" s="4">
        <v>45813</v>
      </c>
      <c r="B523" s="3" t="s">
        <v>30</v>
      </c>
      <c r="C523" s="3">
        <v>250</v>
      </c>
      <c r="D523" s="3" t="s">
        <v>8</v>
      </c>
      <c r="E523" s="3" t="s">
        <v>7</v>
      </c>
      <c r="I523" s="4"/>
      <c r="J523" s="3"/>
      <c r="K523" s="3"/>
      <c r="L523" s="3"/>
      <c r="M523" s="3"/>
      <c r="N523" s="3"/>
    </row>
    <row r="524" spans="1:14" ht="15.6" customHeight="1" x14ac:dyDescent="0.3">
      <c r="A524" s="4">
        <v>45813</v>
      </c>
      <c r="B524" s="3" t="s">
        <v>18</v>
      </c>
      <c r="C524" s="3">
        <v>350</v>
      </c>
      <c r="D524" s="3" t="s">
        <v>8</v>
      </c>
      <c r="E524" s="3" t="s">
        <v>7</v>
      </c>
      <c r="I524" s="4"/>
      <c r="J524" s="3"/>
      <c r="K524" s="6"/>
      <c r="L524" s="3"/>
      <c r="M524" s="3"/>
      <c r="N524" s="3"/>
    </row>
    <row r="525" spans="1:14" ht="15.6" customHeight="1" x14ac:dyDescent="0.3">
      <c r="A525" s="4">
        <v>45814</v>
      </c>
      <c r="B525" s="3" t="s">
        <v>12</v>
      </c>
      <c r="C525" s="66">
        <v>1300</v>
      </c>
      <c r="D525" s="3" t="s">
        <v>8</v>
      </c>
      <c r="E525" s="3" t="s">
        <v>7</v>
      </c>
      <c r="I525" s="4"/>
      <c r="J525" s="3"/>
      <c r="K525" s="6"/>
      <c r="L525" s="3"/>
      <c r="M525" s="3"/>
      <c r="N525" s="3"/>
    </row>
    <row r="526" spans="1:14" ht="15.6" customHeight="1" x14ac:dyDescent="0.3">
      <c r="A526" s="4">
        <v>45814</v>
      </c>
      <c r="B526" s="3" t="s">
        <v>39</v>
      </c>
      <c r="C526" s="66"/>
      <c r="D526" s="3" t="s">
        <v>8</v>
      </c>
      <c r="E526" s="3" t="s">
        <v>7</v>
      </c>
      <c r="I526" s="4"/>
      <c r="J526" s="3"/>
      <c r="K526" s="6"/>
      <c r="L526" s="3"/>
      <c r="M526" s="3"/>
      <c r="N526" s="3"/>
    </row>
    <row r="527" spans="1:14" ht="15.6" customHeight="1" x14ac:dyDescent="0.3">
      <c r="A527" s="4">
        <v>45814</v>
      </c>
      <c r="B527" s="3" t="s">
        <v>92</v>
      </c>
      <c r="C527" s="3">
        <v>300</v>
      </c>
      <c r="D527" s="3" t="s">
        <v>8</v>
      </c>
      <c r="E527" s="3" t="s">
        <v>60</v>
      </c>
      <c r="I527" s="4"/>
      <c r="J527" s="3"/>
      <c r="K527" s="6"/>
      <c r="L527" s="3"/>
      <c r="M527" s="3"/>
      <c r="N527" s="3"/>
    </row>
    <row r="528" spans="1:14" ht="15.6" customHeight="1" x14ac:dyDescent="0.3">
      <c r="A528" s="4">
        <v>45814</v>
      </c>
      <c r="B528" s="3" t="s">
        <v>12</v>
      </c>
      <c r="C528" s="66">
        <v>930</v>
      </c>
      <c r="D528" s="3" t="s">
        <v>8</v>
      </c>
      <c r="E528" s="3" t="s">
        <v>7</v>
      </c>
      <c r="I528" s="4"/>
      <c r="J528" s="3"/>
      <c r="K528" s="3"/>
      <c r="L528" s="3"/>
      <c r="M528" s="3"/>
      <c r="N528" s="3"/>
    </row>
    <row r="529" spans="1:14" ht="15.6" customHeight="1" x14ac:dyDescent="0.3">
      <c r="A529" s="4">
        <v>45814</v>
      </c>
      <c r="B529" s="3" t="s">
        <v>16</v>
      </c>
      <c r="C529" s="66"/>
      <c r="D529" s="3" t="s">
        <v>8</v>
      </c>
      <c r="E529" s="3" t="s">
        <v>7</v>
      </c>
      <c r="I529" s="4"/>
      <c r="J529" s="3"/>
      <c r="K529" s="3"/>
      <c r="L529" s="3"/>
      <c r="M529" s="3"/>
      <c r="N529" s="3"/>
    </row>
    <row r="530" spans="1:14" ht="15.6" customHeight="1" x14ac:dyDescent="0.3">
      <c r="A530" s="4">
        <v>45815</v>
      </c>
      <c r="B530" s="3" t="s">
        <v>5</v>
      </c>
      <c r="C530" s="3">
        <v>90</v>
      </c>
      <c r="D530" s="3" t="s">
        <v>6</v>
      </c>
      <c r="E530" s="3" t="s">
        <v>7</v>
      </c>
      <c r="I530" s="4"/>
      <c r="J530" s="3"/>
      <c r="K530" s="3"/>
      <c r="L530" s="3"/>
      <c r="M530" s="3"/>
      <c r="N530" s="3"/>
    </row>
    <row r="531" spans="1:14" ht="15.6" customHeight="1" x14ac:dyDescent="0.3">
      <c r="A531" s="4">
        <v>45817</v>
      </c>
      <c r="B531" s="3" t="s">
        <v>93</v>
      </c>
      <c r="C531" s="3">
        <v>1050</v>
      </c>
      <c r="D531" s="3" t="s">
        <v>8</v>
      </c>
      <c r="E531" s="3" t="s">
        <v>60</v>
      </c>
      <c r="I531" s="4"/>
      <c r="J531" s="3"/>
      <c r="K531" s="6"/>
      <c r="L531" s="3"/>
      <c r="M531" s="3"/>
      <c r="N531" s="3"/>
    </row>
    <row r="532" spans="1:14" ht="15.6" customHeight="1" x14ac:dyDescent="0.3">
      <c r="A532" s="4">
        <v>45819</v>
      </c>
      <c r="B532" s="3" t="s">
        <v>43</v>
      </c>
      <c r="C532" s="3">
        <v>1000</v>
      </c>
      <c r="D532" s="3" t="s">
        <v>8</v>
      </c>
      <c r="E532" s="3" t="s">
        <v>7</v>
      </c>
      <c r="I532" s="4"/>
      <c r="J532" s="3"/>
      <c r="K532" s="6"/>
      <c r="L532" s="3"/>
      <c r="M532" s="3"/>
      <c r="N532" s="3"/>
    </row>
    <row r="533" spans="1:14" ht="15.6" customHeight="1" x14ac:dyDescent="0.3">
      <c r="A533" s="4">
        <v>45820</v>
      </c>
      <c r="B533" s="3" t="s">
        <v>59</v>
      </c>
      <c r="C533" s="3">
        <v>150</v>
      </c>
      <c r="D533" s="3" t="s">
        <v>8</v>
      </c>
      <c r="E533" s="3" t="s">
        <v>60</v>
      </c>
      <c r="I533" s="4"/>
      <c r="J533" s="3"/>
      <c r="K533" s="6"/>
      <c r="L533" s="3"/>
      <c r="M533" s="3"/>
      <c r="N533" s="3"/>
    </row>
    <row r="534" spans="1:14" ht="15.6" customHeight="1" x14ac:dyDescent="0.3">
      <c r="A534" s="4">
        <v>45821</v>
      </c>
      <c r="B534" s="3" t="s">
        <v>76</v>
      </c>
      <c r="C534" s="3">
        <v>400</v>
      </c>
      <c r="D534" s="3" t="s">
        <v>8</v>
      </c>
      <c r="E534" s="3" t="s">
        <v>60</v>
      </c>
      <c r="I534" s="4"/>
      <c r="J534" s="3"/>
      <c r="K534" s="6"/>
      <c r="L534" s="3"/>
      <c r="M534" s="3"/>
      <c r="N534" s="3"/>
    </row>
    <row r="535" spans="1:14" ht="15.6" customHeight="1" x14ac:dyDescent="0.3">
      <c r="A535" s="4">
        <v>45822</v>
      </c>
      <c r="B535" s="3" t="s">
        <v>76</v>
      </c>
      <c r="C535" s="66">
        <v>480</v>
      </c>
      <c r="D535" s="3" t="s">
        <v>8</v>
      </c>
      <c r="E535" s="3" t="s">
        <v>60</v>
      </c>
      <c r="I535" s="4"/>
      <c r="J535" s="3"/>
      <c r="K535" s="3"/>
      <c r="L535" s="3"/>
      <c r="M535" s="3"/>
      <c r="N535" s="3"/>
    </row>
    <row r="536" spans="1:14" ht="15.6" customHeight="1" x14ac:dyDescent="0.3">
      <c r="A536" s="4">
        <v>45822</v>
      </c>
      <c r="B536" s="3" t="s">
        <v>70</v>
      </c>
      <c r="C536" s="66"/>
      <c r="D536" s="3" t="s">
        <v>8</v>
      </c>
      <c r="E536" s="3" t="s">
        <v>60</v>
      </c>
      <c r="I536" s="4"/>
      <c r="J536" s="3"/>
      <c r="K536" s="3"/>
      <c r="L536" s="3"/>
      <c r="M536" s="3"/>
      <c r="N536" s="3"/>
    </row>
    <row r="537" spans="1:14" ht="15.6" customHeight="1" x14ac:dyDescent="0.3">
      <c r="A537" s="4">
        <v>45823</v>
      </c>
      <c r="B537" s="3" t="s">
        <v>49</v>
      </c>
      <c r="C537" s="3">
        <v>300</v>
      </c>
      <c r="D537" s="3" t="s">
        <v>8</v>
      </c>
      <c r="E537" s="3" t="s">
        <v>7</v>
      </c>
      <c r="I537" s="4"/>
      <c r="J537" s="3"/>
      <c r="K537" s="3"/>
      <c r="L537" s="3"/>
      <c r="M537" s="3"/>
      <c r="N537" s="3"/>
    </row>
    <row r="538" spans="1:14" ht="15.6" customHeight="1" x14ac:dyDescent="0.3">
      <c r="A538" s="4">
        <v>45824</v>
      </c>
      <c r="B538" s="3" t="s">
        <v>14</v>
      </c>
      <c r="C538" s="3">
        <v>800</v>
      </c>
      <c r="D538" s="3" t="s">
        <v>8</v>
      </c>
      <c r="E538" s="3" t="s">
        <v>7</v>
      </c>
      <c r="I538" s="4"/>
      <c r="J538" s="3"/>
      <c r="K538" s="3"/>
      <c r="L538" s="3"/>
      <c r="M538" s="3"/>
      <c r="N538" s="3"/>
    </row>
    <row r="539" spans="1:14" ht="15.6" customHeight="1" x14ac:dyDescent="0.3">
      <c r="A539" s="4">
        <v>45825</v>
      </c>
      <c r="B539" s="3" t="s">
        <v>76</v>
      </c>
      <c r="C539" s="3">
        <v>640</v>
      </c>
      <c r="D539" s="3" t="s">
        <v>6</v>
      </c>
      <c r="E539" s="3" t="s">
        <v>60</v>
      </c>
      <c r="I539" s="4"/>
      <c r="J539" s="3"/>
      <c r="K539" s="3"/>
      <c r="L539" s="3"/>
      <c r="M539" s="3"/>
      <c r="N539" s="3"/>
    </row>
    <row r="540" spans="1:14" ht="15.6" customHeight="1" x14ac:dyDescent="0.3">
      <c r="A540" s="4">
        <v>45826</v>
      </c>
      <c r="B540" s="3" t="s">
        <v>30</v>
      </c>
      <c r="C540" s="3">
        <v>300</v>
      </c>
      <c r="D540" s="3" t="s">
        <v>6</v>
      </c>
      <c r="E540" s="3" t="s">
        <v>7</v>
      </c>
      <c r="I540" s="4"/>
      <c r="J540" s="3"/>
      <c r="K540" s="3"/>
      <c r="L540" s="3"/>
      <c r="M540" s="3"/>
      <c r="N540" s="3"/>
    </row>
    <row r="541" spans="1:14" ht="15.6" customHeight="1" x14ac:dyDescent="0.3">
      <c r="A541" s="4">
        <v>45827</v>
      </c>
      <c r="B541" s="3" t="s">
        <v>94</v>
      </c>
      <c r="C541" s="3">
        <v>1560</v>
      </c>
      <c r="D541" s="3" t="s">
        <v>8</v>
      </c>
      <c r="E541" s="3" t="s">
        <v>7</v>
      </c>
      <c r="I541" s="4"/>
      <c r="J541" s="3"/>
      <c r="K541" s="3"/>
      <c r="L541" s="3"/>
      <c r="M541" s="3"/>
      <c r="N541" s="3"/>
    </row>
    <row r="542" spans="1:14" ht="15.6" customHeight="1" x14ac:dyDescent="0.3">
      <c r="A542" s="4">
        <v>45828</v>
      </c>
      <c r="B542" s="3" t="s">
        <v>14</v>
      </c>
      <c r="C542" s="3">
        <v>700</v>
      </c>
      <c r="D542" s="3" t="s">
        <v>8</v>
      </c>
      <c r="E542" s="3" t="s">
        <v>7</v>
      </c>
    </row>
    <row r="543" spans="1:14" ht="15.6" customHeight="1" x14ac:dyDescent="0.3">
      <c r="A543" s="4">
        <v>45829</v>
      </c>
      <c r="B543" s="3" t="s">
        <v>87</v>
      </c>
      <c r="C543" s="3">
        <v>900</v>
      </c>
      <c r="D543" s="3" t="s">
        <v>8</v>
      </c>
      <c r="E543" s="3" t="s">
        <v>7</v>
      </c>
    </row>
    <row r="544" spans="1:14" ht="15.6" customHeight="1" x14ac:dyDescent="0.3">
      <c r="A544" s="4">
        <v>45829</v>
      </c>
      <c r="B544" s="3" t="s">
        <v>5</v>
      </c>
      <c r="C544" s="3">
        <v>60</v>
      </c>
      <c r="D544" s="3" t="s">
        <v>8</v>
      </c>
      <c r="E544" s="3" t="s">
        <v>7</v>
      </c>
    </row>
    <row r="545" spans="1:5" ht="15.6" customHeight="1" x14ac:dyDescent="0.3">
      <c r="A545" s="4">
        <v>45829</v>
      </c>
      <c r="B545" s="3" t="s">
        <v>16</v>
      </c>
      <c r="C545" s="3">
        <v>500</v>
      </c>
      <c r="D545" s="3" t="s">
        <v>8</v>
      </c>
      <c r="E545" s="3" t="s">
        <v>7</v>
      </c>
    </row>
    <row r="546" spans="1:5" ht="15.6" customHeight="1" x14ac:dyDescent="0.3">
      <c r="A546" s="4">
        <v>45829</v>
      </c>
      <c r="B546" s="3" t="s">
        <v>5</v>
      </c>
      <c r="C546" s="3">
        <v>60</v>
      </c>
      <c r="D546" s="3" t="s">
        <v>8</v>
      </c>
      <c r="E546" s="3" t="s">
        <v>7</v>
      </c>
    </row>
    <row r="547" spans="1:5" ht="15.6" customHeight="1" x14ac:dyDescent="0.3">
      <c r="A547" s="4">
        <v>45830</v>
      </c>
      <c r="B547" s="3" t="s">
        <v>18</v>
      </c>
      <c r="C547" s="3">
        <v>700</v>
      </c>
      <c r="D547" s="3" t="s">
        <v>8</v>
      </c>
      <c r="E547" s="3" t="s">
        <v>7</v>
      </c>
    </row>
    <row r="548" spans="1:5" ht="15.6" customHeight="1" x14ac:dyDescent="0.3">
      <c r="A548" s="4">
        <v>45830</v>
      </c>
      <c r="B548" s="3" t="s">
        <v>44</v>
      </c>
      <c r="C548" s="3">
        <v>200</v>
      </c>
      <c r="D548" s="3" t="s">
        <v>8</v>
      </c>
      <c r="E548" s="3" t="s">
        <v>7</v>
      </c>
    </row>
    <row r="549" spans="1:5" ht="15.6" customHeight="1" x14ac:dyDescent="0.3">
      <c r="A549" s="4">
        <v>45831</v>
      </c>
      <c r="B549" s="3" t="s">
        <v>5</v>
      </c>
      <c r="C549" s="66">
        <v>190</v>
      </c>
      <c r="D549" s="3" t="s">
        <v>6</v>
      </c>
      <c r="E549" s="3" t="s">
        <v>7</v>
      </c>
    </row>
    <row r="550" spans="1:5" ht="15.6" customHeight="1" x14ac:dyDescent="0.3">
      <c r="A550" s="4">
        <v>45831</v>
      </c>
      <c r="B550" s="3" t="s">
        <v>5</v>
      </c>
      <c r="C550" s="66"/>
      <c r="D550" s="3" t="s">
        <v>8</v>
      </c>
      <c r="E550" s="3" t="s">
        <v>7</v>
      </c>
    </row>
    <row r="551" spans="1:5" ht="15.6" customHeight="1" x14ac:dyDescent="0.3">
      <c r="A551" s="4">
        <v>45832</v>
      </c>
      <c r="B551" s="3" t="s">
        <v>5</v>
      </c>
      <c r="C551" s="3">
        <v>60</v>
      </c>
      <c r="D551" s="3" t="s">
        <v>8</v>
      </c>
      <c r="E551" s="3" t="s">
        <v>7</v>
      </c>
    </row>
    <row r="552" spans="1:5" ht="15.6" customHeight="1" x14ac:dyDescent="0.3">
      <c r="A552" s="4">
        <v>45832</v>
      </c>
      <c r="B552" s="3" t="s">
        <v>87</v>
      </c>
      <c r="C552" s="3">
        <v>1000</v>
      </c>
      <c r="D552" s="3" t="s">
        <v>8</v>
      </c>
      <c r="E552" s="3" t="s">
        <v>7</v>
      </c>
    </row>
    <row r="553" spans="1:5" ht="15.6" customHeight="1" x14ac:dyDescent="0.3">
      <c r="A553" s="4">
        <v>45832</v>
      </c>
      <c r="B553" s="3" t="s">
        <v>5</v>
      </c>
      <c r="C553" s="3">
        <v>120</v>
      </c>
      <c r="D553" s="3" t="s">
        <v>8</v>
      </c>
      <c r="E553" s="3" t="s">
        <v>7</v>
      </c>
    </row>
    <row r="554" spans="1:5" ht="15.6" customHeight="1" x14ac:dyDescent="0.3">
      <c r="A554" s="4">
        <v>45832</v>
      </c>
      <c r="B554" s="3" t="s">
        <v>44</v>
      </c>
      <c r="C554" s="3">
        <v>300</v>
      </c>
      <c r="D554" s="3" t="s">
        <v>8</v>
      </c>
      <c r="E554" s="3" t="s">
        <v>7</v>
      </c>
    </row>
    <row r="555" spans="1:5" ht="15.6" customHeight="1" x14ac:dyDescent="0.3">
      <c r="A555" s="4">
        <v>45832</v>
      </c>
      <c r="B555" s="3" t="s">
        <v>95</v>
      </c>
      <c r="C555" s="3">
        <v>1000</v>
      </c>
      <c r="D555" s="3" t="s">
        <v>8</v>
      </c>
      <c r="E555" s="3" t="s">
        <v>7</v>
      </c>
    </row>
    <row r="556" spans="1:5" ht="15.6" customHeight="1" x14ac:dyDescent="0.3">
      <c r="A556" s="4">
        <v>45832</v>
      </c>
      <c r="B556" s="3" t="s">
        <v>96</v>
      </c>
      <c r="C556" s="3">
        <v>1000</v>
      </c>
      <c r="D556" s="3" t="s">
        <v>8</v>
      </c>
      <c r="E556" s="3" t="s">
        <v>60</v>
      </c>
    </row>
    <row r="557" spans="1:5" ht="15.6" customHeight="1" x14ac:dyDescent="0.3">
      <c r="A557" s="4">
        <v>45833</v>
      </c>
      <c r="B557" s="3" t="s">
        <v>39</v>
      </c>
      <c r="C557" s="3">
        <v>1060</v>
      </c>
      <c r="D557" s="3" t="s">
        <v>6</v>
      </c>
      <c r="E557" s="3" t="s">
        <v>7</v>
      </c>
    </row>
    <row r="558" spans="1:5" ht="15.6" customHeight="1" x14ac:dyDescent="0.3">
      <c r="A558" s="4">
        <v>45833</v>
      </c>
      <c r="B558" s="3" t="s">
        <v>5</v>
      </c>
      <c r="C558" s="3">
        <v>60</v>
      </c>
      <c r="D558" s="3" t="s">
        <v>8</v>
      </c>
      <c r="E558" s="3" t="s">
        <v>7</v>
      </c>
    </row>
    <row r="559" spans="1:5" ht="15.6" customHeight="1" x14ac:dyDescent="0.3">
      <c r="A559" s="4">
        <v>45833</v>
      </c>
      <c r="B559" s="3" t="s">
        <v>97</v>
      </c>
      <c r="C559" s="3">
        <v>400</v>
      </c>
      <c r="D559" s="3" t="s">
        <v>8</v>
      </c>
      <c r="E559" s="3" t="s">
        <v>7</v>
      </c>
    </row>
    <row r="560" spans="1:5" ht="15.6" customHeight="1" x14ac:dyDescent="0.3">
      <c r="A560" s="4">
        <v>45833</v>
      </c>
      <c r="B560" s="3" t="s">
        <v>5</v>
      </c>
      <c r="C560" s="3">
        <v>80</v>
      </c>
      <c r="D560" s="3" t="s">
        <v>8</v>
      </c>
      <c r="E560" s="3" t="s">
        <v>7</v>
      </c>
    </row>
    <row r="561" spans="1:5" ht="15.6" customHeight="1" x14ac:dyDescent="0.3">
      <c r="A561" s="4">
        <v>45833</v>
      </c>
      <c r="B561" s="3" t="s">
        <v>30</v>
      </c>
      <c r="C561" s="3">
        <v>500</v>
      </c>
      <c r="D561" s="3" t="s">
        <v>8</v>
      </c>
      <c r="E561" s="3" t="s">
        <v>7</v>
      </c>
    </row>
    <row r="562" spans="1:5" ht="15.6" customHeight="1" x14ac:dyDescent="0.3">
      <c r="A562" s="4">
        <v>45833</v>
      </c>
      <c r="B562" s="3" t="s">
        <v>16</v>
      </c>
      <c r="C562" s="3">
        <v>500</v>
      </c>
      <c r="D562" s="3" t="s">
        <v>8</v>
      </c>
      <c r="E562" s="3" t="s">
        <v>7</v>
      </c>
    </row>
    <row r="563" spans="1:5" ht="15.6" customHeight="1" x14ac:dyDescent="0.3">
      <c r="A563" s="4">
        <v>45833</v>
      </c>
      <c r="B563" s="3" t="s">
        <v>5</v>
      </c>
      <c r="C563" s="3">
        <v>60</v>
      </c>
      <c r="D563" s="3" t="s">
        <v>8</v>
      </c>
      <c r="E563" s="3" t="s">
        <v>7</v>
      </c>
    </row>
    <row r="564" spans="1:5" ht="15.6" customHeight="1" x14ac:dyDescent="0.3">
      <c r="A564" s="4">
        <v>45833</v>
      </c>
      <c r="B564" s="3" t="s">
        <v>76</v>
      </c>
      <c r="C564" s="66">
        <v>960</v>
      </c>
      <c r="D564" s="3" t="s">
        <v>8</v>
      </c>
      <c r="E564" s="3" t="s">
        <v>60</v>
      </c>
    </row>
    <row r="565" spans="1:5" ht="15.6" customHeight="1" x14ac:dyDescent="0.3">
      <c r="A565" s="4">
        <v>45833</v>
      </c>
      <c r="B565" s="3" t="s">
        <v>78</v>
      </c>
      <c r="C565" s="66"/>
      <c r="D565" s="3" t="s">
        <v>8</v>
      </c>
      <c r="E565" s="3" t="s">
        <v>60</v>
      </c>
    </row>
    <row r="566" spans="1:5" ht="15.6" customHeight="1" x14ac:dyDescent="0.3">
      <c r="A566" s="4">
        <v>45835</v>
      </c>
      <c r="B566" s="3" t="s">
        <v>98</v>
      </c>
      <c r="C566" s="3">
        <v>1000</v>
      </c>
      <c r="D566" s="3" t="s">
        <v>8</v>
      </c>
      <c r="E566" s="3" t="s">
        <v>60</v>
      </c>
    </row>
    <row r="567" spans="1:5" ht="15.6" customHeight="1" x14ac:dyDescent="0.3">
      <c r="A567" s="4">
        <v>45838</v>
      </c>
      <c r="B567" s="3" t="s">
        <v>5</v>
      </c>
      <c r="C567" s="3">
        <v>60</v>
      </c>
      <c r="D567" s="3" t="s">
        <v>8</v>
      </c>
      <c r="E567" s="3" t="s">
        <v>7</v>
      </c>
    </row>
    <row r="568" spans="1:5" ht="15.6" customHeight="1" x14ac:dyDescent="0.3">
      <c r="A568" s="4">
        <v>45838</v>
      </c>
      <c r="B568" s="3" t="s">
        <v>5</v>
      </c>
      <c r="C568" s="3">
        <v>60</v>
      </c>
      <c r="D568" s="3" t="s">
        <v>8</v>
      </c>
      <c r="E568" s="3" t="s">
        <v>7</v>
      </c>
    </row>
    <row r="569" spans="1:5" x14ac:dyDescent="0.3">
      <c r="A569" s="4">
        <v>45722</v>
      </c>
      <c r="B569" s="3" t="s">
        <v>76</v>
      </c>
      <c r="C569" s="3">
        <v>300</v>
      </c>
      <c r="D569" s="3" t="s">
        <v>6</v>
      </c>
      <c r="E569" s="3" t="s">
        <v>60</v>
      </c>
    </row>
    <row r="570" spans="1:5" x14ac:dyDescent="0.3">
      <c r="A570" s="4">
        <v>45723</v>
      </c>
      <c r="B570" s="3" t="s">
        <v>99</v>
      </c>
      <c r="C570" s="3">
        <v>300</v>
      </c>
      <c r="D570" s="3" t="s">
        <v>8</v>
      </c>
      <c r="E570" s="3" t="s">
        <v>60</v>
      </c>
    </row>
    <row r="571" spans="1:5" x14ac:dyDescent="0.3">
      <c r="A571" s="4">
        <v>45724</v>
      </c>
      <c r="B571" s="3" t="s">
        <v>76</v>
      </c>
      <c r="C571" s="3">
        <v>300</v>
      </c>
      <c r="D571" s="3" t="s">
        <v>6</v>
      </c>
      <c r="E571" s="3" t="s">
        <v>60</v>
      </c>
    </row>
    <row r="572" spans="1:5" x14ac:dyDescent="0.3">
      <c r="A572" s="4">
        <v>45751</v>
      </c>
      <c r="B572" s="3" t="s">
        <v>100</v>
      </c>
      <c r="C572" s="3">
        <v>2500</v>
      </c>
      <c r="D572" s="3" t="s">
        <v>8</v>
      </c>
      <c r="E572" s="3" t="s">
        <v>60</v>
      </c>
    </row>
    <row r="573" spans="1:5" x14ac:dyDescent="0.3">
      <c r="A573" s="4">
        <v>45755</v>
      </c>
      <c r="B573" s="3" t="s">
        <v>76</v>
      </c>
      <c r="C573" s="3">
        <v>400</v>
      </c>
      <c r="D573" s="3" t="s">
        <v>8</v>
      </c>
      <c r="E573" s="3" t="s">
        <v>60</v>
      </c>
    </row>
    <row r="574" spans="1:5" x14ac:dyDescent="0.3">
      <c r="A574" s="4">
        <v>45755</v>
      </c>
      <c r="B574" s="3" t="s">
        <v>77</v>
      </c>
      <c r="C574" s="3">
        <v>175</v>
      </c>
      <c r="D574" s="3" t="s">
        <v>8</v>
      </c>
      <c r="E574" s="3" t="s">
        <v>60</v>
      </c>
    </row>
    <row r="575" spans="1:5" x14ac:dyDescent="0.3">
      <c r="A575" s="4">
        <v>45757</v>
      </c>
      <c r="B575" s="3" t="s">
        <v>70</v>
      </c>
      <c r="C575" s="3">
        <v>150</v>
      </c>
      <c r="D575" s="3" t="s">
        <v>6</v>
      </c>
      <c r="E575" s="3" t="s">
        <v>60</v>
      </c>
    </row>
    <row r="576" spans="1:5" x14ac:dyDescent="0.3">
      <c r="A576" s="4">
        <v>45761</v>
      </c>
      <c r="B576" s="3" t="s">
        <v>59</v>
      </c>
      <c r="C576" s="3">
        <v>80</v>
      </c>
      <c r="D576" s="3" t="s">
        <v>6</v>
      </c>
      <c r="E576" s="3" t="s">
        <v>60</v>
      </c>
    </row>
    <row r="577" spans="1:5" x14ac:dyDescent="0.3">
      <c r="A577" s="4">
        <v>45761</v>
      </c>
      <c r="B577" s="3" t="s">
        <v>59</v>
      </c>
      <c r="C577" s="3">
        <v>50</v>
      </c>
      <c r="D577" s="3" t="s">
        <v>6</v>
      </c>
      <c r="E577" s="3" t="s">
        <v>60</v>
      </c>
    </row>
    <row r="578" spans="1:5" x14ac:dyDescent="0.3">
      <c r="A578" s="4">
        <v>45763</v>
      </c>
      <c r="B578" s="3" t="s">
        <v>76</v>
      </c>
      <c r="C578" s="3">
        <v>150</v>
      </c>
      <c r="D578" s="3" t="s">
        <v>8</v>
      </c>
      <c r="E578" s="3" t="s">
        <v>60</v>
      </c>
    </row>
    <row r="579" spans="1:5" x14ac:dyDescent="0.3">
      <c r="A579" s="4">
        <v>45764</v>
      </c>
      <c r="B579" s="3" t="s">
        <v>69</v>
      </c>
      <c r="C579" s="3">
        <v>430</v>
      </c>
      <c r="D579" s="3" t="s">
        <v>8</v>
      </c>
      <c r="E579" s="3" t="s">
        <v>60</v>
      </c>
    </row>
    <row r="580" spans="1:5" x14ac:dyDescent="0.3">
      <c r="A580" s="4">
        <v>45765</v>
      </c>
      <c r="B580" s="3" t="s">
        <v>98</v>
      </c>
      <c r="C580" s="3">
        <v>550</v>
      </c>
      <c r="D580" s="3" t="s">
        <v>8</v>
      </c>
      <c r="E580" s="3" t="s">
        <v>60</v>
      </c>
    </row>
    <row r="581" spans="1:5" x14ac:dyDescent="0.3">
      <c r="A581" s="4">
        <v>45766</v>
      </c>
      <c r="B581" s="3" t="s">
        <v>101</v>
      </c>
      <c r="C581" s="3">
        <v>550</v>
      </c>
      <c r="D581" s="3" t="s">
        <v>6</v>
      </c>
      <c r="E581" s="3" t="s">
        <v>60</v>
      </c>
    </row>
    <row r="582" spans="1:5" x14ac:dyDescent="0.3">
      <c r="A582" s="4">
        <v>45768</v>
      </c>
      <c r="B582" s="3" t="s">
        <v>72</v>
      </c>
      <c r="C582" s="3">
        <v>2500</v>
      </c>
      <c r="D582" s="3" t="s">
        <v>6</v>
      </c>
      <c r="E582" s="3" t="s">
        <v>60</v>
      </c>
    </row>
  </sheetData>
  <sortState xmlns:xlrd2="http://schemas.microsoft.com/office/spreadsheetml/2017/richdata2" ref="I3:I46">
    <sortCondition ref="I3:I46"/>
  </sortState>
  <mergeCells count="30">
    <mergeCell ref="C564:C565"/>
    <mergeCell ref="C549:C550"/>
    <mergeCell ref="C93:C95"/>
    <mergeCell ref="C70:C72"/>
    <mergeCell ref="C85:C87"/>
    <mergeCell ref="C88:C89"/>
    <mergeCell ref="C184:C185"/>
    <mergeCell ref="C186:C187"/>
    <mergeCell ref="C188:C189"/>
    <mergeCell ref="C90:C92"/>
    <mergeCell ref="C180:C181"/>
    <mergeCell ref="C101:C102"/>
    <mergeCell ref="C104:C105"/>
    <mergeCell ref="C111:C112"/>
    <mergeCell ref="C146:C147"/>
    <mergeCell ref="C161:C162"/>
    <mergeCell ref="C163:C164"/>
    <mergeCell ref="C128:C129"/>
    <mergeCell ref="C314:C315"/>
    <mergeCell ref="C316:C317"/>
    <mergeCell ref="C350:C351"/>
    <mergeCell ref="C247:C248"/>
    <mergeCell ref="C270:C271"/>
    <mergeCell ref="C525:C526"/>
    <mergeCell ref="C528:C529"/>
    <mergeCell ref="C535:C536"/>
    <mergeCell ref="C471:C472"/>
    <mergeCell ref="C487:C488"/>
    <mergeCell ref="C503:C504"/>
    <mergeCell ref="C505:C50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0975F-D6EA-439C-A5BF-9DF44DFDD50E}">
  <dimension ref="A1:L62"/>
  <sheetViews>
    <sheetView topLeftCell="F1" workbookViewId="0">
      <selection activeCell="H21" sqref="H21"/>
    </sheetView>
  </sheetViews>
  <sheetFormatPr defaultRowHeight="15.6" x14ac:dyDescent="0.3"/>
  <cols>
    <col min="1" max="1" width="26.5546875" style="3" customWidth="1"/>
    <col min="2" max="2" width="20.6640625" style="3" customWidth="1"/>
    <col min="3" max="3" width="20.33203125" style="3" customWidth="1"/>
    <col min="4" max="4" width="14.88671875" style="3" customWidth="1"/>
    <col min="6" max="6" width="24.33203125" customWidth="1"/>
    <col min="7" max="7" width="20.6640625" customWidth="1"/>
    <col min="8" max="8" width="20.5546875" customWidth="1"/>
    <col min="9" max="9" width="11.44140625" customWidth="1"/>
    <col min="10" max="10" width="21.109375" customWidth="1"/>
    <col min="11" max="11" width="22.44140625" customWidth="1"/>
    <col min="12" max="12" width="14.44140625" customWidth="1"/>
  </cols>
  <sheetData>
    <row r="1" spans="1:12" x14ac:dyDescent="0.3">
      <c r="A1" s="67" t="s">
        <v>189</v>
      </c>
      <c r="B1" s="67"/>
      <c r="C1" s="67"/>
      <c r="D1" s="6"/>
      <c r="F1" s="68" t="s">
        <v>134</v>
      </c>
      <c r="G1" s="68"/>
      <c r="H1" s="68"/>
      <c r="I1" s="3"/>
      <c r="J1" s="68" t="s">
        <v>190</v>
      </c>
      <c r="K1" s="68"/>
      <c r="L1" s="68"/>
    </row>
    <row r="2" spans="1:12" x14ac:dyDescent="0.3">
      <c r="A2" s="45" t="s">
        <v>1</v>
      </c>
      <c r="B2" s="45" t="s">
        <v>135</v>
      </c>
      <c r="C2" s="45" t="s">
        <v>136</v>
      </c>
      <c r="D2"/>
      <c r="F2" s="45" t="s">
        <v>1</v>
      </c>
      <c r="G2" s="45" t="s">
        <v>135</v>
      </c>
      <c r="H2" s="45" t="s">
        <v>136</v>
      </c>
      <c r="I2" s="15"/>
      <c r="J2" s="45" t="s">
        <v>1</v>
      </c>
      <c r="K2" s="45" t="s">
        <v>135</v>
      </c>
      <c r="L2" s="45" t="s">
        <v>136</v>
      </c>
    </row>
    <row r="3" spans="1:12" x14ac:dyDescent="0.3">
      <c r="A3" s="45" t="s">
        <v>12</v>
      </c>
      <c r="B3" s="46">
        <v>350</v>
      </c>
      <c r="C3" s="46">
        <v>500</v>
      </c>
      <c r="D3"/>
      <c r="F3" s="45" t="s">
        <v>122</v>
      </c>
      <c r="G3" s="46">
        <v>1000</v>
      </c>
      <c r="H3" s="46">
        <v>6000</v>
      </c>
      <c r="I3" s="15"/>
      <c r="J3" s="45" t="s">
        <v>12</v>
      </c>
      <c r="K3" s="46">
        <v>350</v>
      </c>
      <c r="L3" s="46">
        <v>500</v>
      </c>
    </row>
    <row r="4" spans="1:12" x14ac:dyDescent="0.3">
      <c r="A4" s="45" t="s">
        <v>79</v>
      </c>
      <c r="B4" s="46">
        <v>300</v>
      </c>
      <c r="C4" s="46">
        <v>500</v>
      </c>
      <c r="F4" s="45" t="s">
        <v>59</v>
      </c>
      <c r="G4" s="46">
        <v>50</v>
      </c>
      <c r="H4" s="46">
        <v>150</v>
      </c>
      <c r="I4" s="15"/>
      <c r="J4" s="45" t="s">
        <v>79</v>
      </c>
      <c r="K4" s="46">
        <v>300</v>
      </c>
      <c r="L4" s="46">
        <v>500</v>
      </c>
    </row>
    <row r="5" spans="1:12" x14ac:dyDescent="0.3">
      <c r="A5" s="45" t="s">
        <v>16</v>
      </c>
      <c r="B5" s="46">
        <v>500</v>
      </c>
      <c r="C5" s="46">
        <v>500</v>
      </c>
      <c r="F5" s="45" t="s">
        <v>119</v>
      </c>
      <c r="G5" s="46">
        <v>200</v>
      </c>
      <c r="H5" s="46">
        <v>300</v>
      </c>
      <c r="I5" s="15"/>
      <c r="J5" s="45" t="s">
        <v>16</v>
      </c>
      <c r="K5" s="46">
        <v>500</v>
      </c>
      <c r="L5" s="46">
        <v>500</v>
      </c>
    </row>
    <row r="6" spans="1:12" x14ac:dyDescent="0.3">
      <c r="A6" s="45" t="s">
        <v>18</v>
      </c>
      <c r="B6" s="46">
        <v>700</v>
      </c>
      <c r="C6" s="46">
        <v>700</v>
      </c>
      <c r="F6" s="45" t="s">
        <v>124</v>
      </c>
      <c r="G6" s="46">
        <v>500</v>
      </c>
      <c r="H6" s="46">
        <v>500</v>
      </c>
      <c r="I6" s="15"/>
      <c r="J6" s="45" t="s">
        <v>18</v>
      </c>
      <c r="K6" s="46">
        <v>700</v>
      </c>
      <c r="L6" s="46">
        <v>700</v>
      </c>
    </row>
    <row r="7" spans="1:12" x14ac:dyDescent="0.3">
      <c r="A7" s="45" t="s">
        <v>32</v>
      </c>
      <c r="B7" s="46">
        <v>600</v>
      </c>
      <c r="C7" s="46">
        <v>1000</v>
      </c>
      <c r="F7" s="45" t="s">
        <v>78</v>
      </c>
      <c r="G7" s="46">
        <v>300</v>
      </c>
      <c r="H7" s="46">
        <v>500</v>
      </c>
      <c r="I7" s="15"/>
      <c r="J7" s="45" t="s">
        <v>32</v>
      </c>
      <c r="K7" s="46">
        <v>600</v>
      </c>
      <c r="L7" s="46">
        <v>1000</v>
      </c>
    </row>
    <row r="8" spans="1:12" x14ac:dyDescent="0.3">
      <c r="A8" s="45" t="s">
        <v>36</v>
      </c>
      <c r="B8" s="46">
        <v>70</v>
      </c>
      <c r="C8" s="46">
        <v>140</v>
      </c>
      <c r="F8" s="45" t="s">
        <v>129</v>
      </c>
      <c r="G8" s="46">
        <v>100</v>
      </c>
      <c r="H8" s="46">
        <v>300</v>
      </c>
      <c r="I8" s="15"/>
      <c r="J8" s="45" t="s">
        <v>36</v>
      </c>
      <c r="K8" s="46">
        <v>70</v>
      </c>
      <c r="L8" s="46">
        <v>140</v>
      </c>
    </row>
    <row r="9" spans="1:12" x14ac:dyDescent="0.3">
      <c r="A9" s="45" t="s">
        <v>5</v>
      </c>
      <c r="B9" s="46">
        <v>60</v>
      </c>
      <c r="C9" s="46">
        <v>70</v>
      </c>
      <c r="F9" s="45" t="s">
        <v>133</v>
      </c>
      <c r="G9" s="46">
        <v>500</v>
      </c>
      <c r="H9" s="46">
        <v>2000</v>
      </c>
      <c r="I9" s="15"/>
      <c r="J9" s="45" t="s">
        <v>5</v>
      </c>
      <c r="K9" s="46">
        <v>60</v>
      </c>
      <c r="L9" s="46">
        <v>70</v>
      </c>
    </row>
    <row r="10" spans="1:12" x14ac:dyDescent="0.3">
      <c r="A10" s="45" t="s">
        <v>41</v>
      </c>
      <c r="B10" s="46">
        <v>1500</v>
      </c>
      <c r="C10" s="46">
        <v>2000</v>
      </c>
      <c r="F10" s="45" t="s">
        <v>63</v>
      </c>
      <c r="G10" s="46">
        <v>600</v>
      </c>
      <c r="H10" s="46">
        <v>800</v>
      </c>
      <c r="I10" s="15"/>
      <c r="J10" s="45" t="s">
        <v>41</v>
      </c>
      <c r="K10" s="46">
        <v>1500</v>
      </c>
      <c r="L10" s="46">
        <v>2000</v>
      </c>
    </row>
    <row r="11" spans="1:12" x14ac:dyDescent="0.3">
      <c r="A11" s="45" t="s">
        <v>57</v>
      </c>
      <c r="B11" s="46">
        <v>600</v>
      </c>
      <c r="C11" s="46">
        <v>600</v>
      </c>
      <c r="F11" s="45" t="s">
        <v>121</v>
      </c>
      <c r="G11" s="46">
        <v>1000</v>
      </c>
      <c r="H11" s="46">
        <v>1500</v>
      </c>
      <c r="I11" s="15"/>
      <c r="J11" s="45" t="s">
        <v>57</v>
      </c>
      <c r="K11" s="46">
        <v>600</v>
      </c>
      <c r="L11" s="46">
        <v>600</v>
      </c>
    </row>
    <row r="12" spans="1:12" x14ac:dyDescent="0.3">
      <c r="A12" s="45" t="s">
        <v>45</v>
      </c>
      <c r="B12" s="46">
        <v>3000</v>
      </c>
      <c r="C12" s="46">
        <v>7000</v>
      </c>
      <c r="F12" s="45" t="s">
        <v>126</v>
      </c>
      <c r="G12" s="46">
        <v>30</v>
      </c>
      <c r="H12" s="46">
        <v>40</v>
      </c>
      <c r="I12" s="15"/>
      <c r="J12" s="45" t="s">
        <v>45</v>
      </c>
      <c r="K12" s="46">
        <v>3000</v>
      </c>
      <c r="L12" s="46">
        <v>7000</v>
      </c>
    </row>
    <row r="13" spans="1:12" x14ac:dyDescent="0.3">
      <c r="A13" s="45" t="s">
        <v>132</v>
      </c>
      <c r="B13" s="46">
        <v>900</v>
      </c>
      <c r="C13" s="46">
        <v>1100</v>
      </c>
      <c r="F13" s="45" t="s">
        <v>69</v>
      </c>
      <c r="G13" s="46">
        <v>350</v>
      </c>
      <c r="H13" s="46">
        <v>350</v>
      </c>
      <c r="I13" s="15"/>
      <c r="J13" s="45" t="s">
        <v>132</v>
      </c>
      <c r="K13" s="46">
        <v>900</v>
      </c>
      <c r="L13" s="46">
        <v>1100</v>
      </c>
    </row>
    <row r="14" spans="1:12" x14ac:dyDescent="0.3">
      <c r="A14" s="45" t="s">
        <v>113</v>
      </c>
      <c r="B14" s="46">
        <v>2000</v>
      </c>
      <c r="C14" s="46">
        <v>2000</v>
      </c>
      <c r="D14" s="11"/>
      <c r="F14" s="45" t="s">
        <v>123</v>
      </c>
      <c r="G14" s="46">
        <v>200</v>
      </c>
      <c r="H14" s="46">
        <v>500</v>
      </c>
      <c r="I14" s="15"/>
      <c r="J14" s="45" t="s">
        <v>113</v>
      </c>
      <c r="K14" s="46">
        <v>2000</v>
      </c>
      <c r="L14" s="46">
        <v>2000</v>
      </c>
    </row>
    <row r="15" spans="1:12" x14ac:dyDescent="0.3">
      <c r="A15" s="45" t="s">
        <v>20</v>
      </c>
      <c r="B15" s="46">
        <v>1000</v>
      </c>
      <c r="C15" s="46">
        <v>1000</v>
      </c>
      <c r="F15" s="45" t="s">
        <v>125</v>
      </c>
      <c r="G15" s="46">
        <v>100</v>
      </c>
      <c r="H15" s="46">
        <v>500</v>
      </c>
      <c r="I15" s="15"/>
      <c r="J15" s="45" t="s">
        <v>20</v>
      </c>
      <c r="K15" s="46">
        <v>1000</v>
      </c>
      <c r="L15" s="46">
        <v>1000</v>
      </c>
    </row>
    <row r="16" spans="1:12" x14ac:dyDescent="0.3">
      <c r="A16" s="45" t="s">
        <v>116</v>
      </c>
      <c r="B16" s="46">
        <v>1100</v>
      </c>
      <c r="C16" s="46">
        <v>1100</v>
      </c>
      <c r="F16" s="45" t="s">
        <v>137</v>
      </c>
      <c r="G16" s="46">
        <v>350</v>
      </c>
      <c r="H16" s="46">
        <v>350</v>
      </c>
      <c r="I16" s="15"/>
      <c r="J16" s="45" t="s">
        <v>116</v>
      </c>
      <c r="K16" s="46">
        <v>1100</v>
      </c>
      <c r="L16" s="46">
        <v>1100</v>
      </c>
    </row>
    <row r="17" spans="1:12" x14ac:dyDescent="0.3">
      <c r="A17" s="45" t="s">
        <v>103</v>
      </c>
      <c r="B17" s="46">
        <v>800</v>
      </c>
      <c r="C17" s="46">
        <v>800</v>
      </c>
      <c r="F17" s="45" t="s">
        <v>131</v>
      </c>
      <c r="G17" s="46">
        <v>700</v>
      </c>
      <c r="H17" s="46">
        <v>1000</v>
      </c>
      <c r="I17" s="15"/>
      <c r="J17" s="45" t="s">
        <v>103</v>
      </c>
      <c r="K17" s="46">
        <v>800</v>
      </c>
      <c r="L17" s="46">
        <v>800</v>
      </c>
    </row>
    <row r="18" spans="1:12" x14ac:dyDescent="0.3">
      <c r="A18" s="45" t="s">
        <v>105</v>
      </c>
      <c r="B18" s="46">
        <v>1100</v>
      </c>
      <c r="C18" s="46">
        <v>1100</v>
      </c>
      <c r="G18" s="3"/>
      <c r="H18" s="3"/>
      <c r="I18" s="15"/>
      <c r="J18" s="45" t="s">
        <v>105</v>
      </c>
      <c r="K18" s="46">
        <v>1100</v>
      </c>
      <c r="L18" s="46">
        <v>1100</v>
      </c>
    </row>
    <row r="19" spans="1:12" x14ac:dyDescent="0.3">
      <c r="A19" s="45" t="s">
        <v>117</v>
      </c>
      <c r="B19" s="46">
        <v>800</v>
      </c>
      <c r="C19" s="46">
        <v>800</v>
      </c>
      <c r="I19" s="15"/>
      <c r="J19" s="45" t="s">
        <v>117</v>
      </c>
      <c r="K19" s="46">
        <v>800</v>
      </c>
      <c r="L19" s="46">
        <v>800</v>
      </c>
    </row>
    <row r="20" spans="1:12" x14ac:dyDescent="0.3">
      <c r="A20" s="45" t="s">
        <v>110</v>
      </c>
      <c r="B20" s="46">
        <v>900</v>
      </c>
      <c r="C20" s="46">
        <v>900</v>
      </c>
      <c r="I20" s="15"/>
      <c r="J20" s="45" t="s">
        <v>110</v>
      </c>
      <c r="K20" s="46">
        <v>900</v>
      </c>
      <c r="L20" s="46">
        <v>900</v>
      </c>
    </row>
    <row r="21" spans="1:12" x14ac:dyDescent="0.3">
      <c r="A21" s="45" t="s">
        <v>112</v>
      </c>
      <c r="B21" s="46">
        <v>700</v>
      </c>
      <c r="C21" s="46">
        <v>700</v>
      </c>
      <c r="I21" s="15"/>
      <c r="J21" s="45" t="s">
        <v>112</v>
      </c>
      <c r="K21" s="46">
        <v>700</v>
      </c>
      <c r="L21" s="46">
        <v>700</v>
      </c>
    </row>
    <row r="22" spans="1:12" x14ac:dyDescent="0.3">
      <c r="A22" s="45" t="s">
        <v>120</v>
      </c>
      <c r="B22" s="46">
        <v>1000</v>
      </c>
      <c r="C22" s="46">
        <v>1000</v>
      </c>
      <c r="I22" s="15"/>
      <c r="J22" s="45" t="s">
        <v>120</v>
      </c>
      <c r="K22" s="46">
        <v>1000</v>
      </c>
      <c r="L22" s="46">
        <v>1000</v>
      </c>
    </row>
    <row r="23" spans="1:12" x14ac:dyDescent="0.3">
      <c r="A23" s="45" t="s">
        <v>115</v>
      </c>
      <c r="B23" s="46">
        <v>850</v>
      </c>
      <c r="C23" s="46">
        <v>850</v>
      </c>
      <c r="D23" s="15"/>
      <c r="I23" s="15"/>
      <c r="J23" s="45" t="s">
        <v>115</v>
      </c>
      <c r="K23" s="46">
        <v>850</v>
      </c>
      <c r="L23" s="46">
        <v>850</v>
      </c>
    </row>
    <row r="24" spans="1:12" x14ac:dyDescent="0.3">
      <c r="A24" s="45" t="s">
        <v>111</v>
      </c>
      <c r="B24" s="46">
        <v>150</v>
      </c>
      <c r="C24" s="46">
        <v>200</v>
      </c>
      <c r="I24" s="15"/>
      <c r="J24" s="45" t="s">
        <v>111</v>
      </c>
      <c r="K24" s="46">
        <v>150</v>
      </c>
      <c r="L24" s="46">
        <v>200</v>
      </c>
    </row>
    <row r="25" spans="1:12" x14ac:dyDescent="0.3">
      <c r="A25" s="45" t="s">
        <v>22</v>
      </c>
      <c r="B25" s="46">
        <v>250</v>
      </c>
      <c r="C25" s="46">
        <v>250</v>
      </c>
      <c r="I25" s="15"/>
      <c r="J25" s="45" t="s">
        <v>22</v>
      </c>
      <c r="K25" s="46">
        <v>250</v>
      </c>
      <c r="L25" s="46">
        <v>250</v>
      </c>
    </row>
    <row r="26" spans="1:12" x14ac:dyDescent="0.3">
      <c r="A26" s="45" t="s">
        <v>109</v>
      </c>
      <c r="B26" s="46">
        <v>600</v>
      </c>
      <c r="C26" s="46">
        <v>600</v>
      </c>
      <c r="I26" s="15"/>
      <c r="J26" s="45" t="s">
        <v>109</v>
      </c>
      <c r="K26" s="46">
        <v>600</v>
      </c>
      <c r="L26" s="46">
        <v>600</v>
      </c>
    </row>
    <row r="27" spans="1:12" x14ac:dyDescent="0.3">
      <c r="A27" s="45" t="s">
        <v>114</v>
      </c>
      <c r="B27" s="46">
        <v>700</v>
      </c>
      <c r="C27" s="46">
        <v>700</v>
      </c>
      <c r="I27" s="15"/>
      <c r="J27" s="45" t="s">
        <v>114</v>
      </c>
      <c r="K27" s="46">
        <v>700</v>
      </c>
      <c r="L27" s="46">
        <v>700</v>
      </c>
    </row>
    <row r="28" spans="1:12" x14ac:dyDescent="0.3">
      <c r="A28" s="45" t="s">
        <v>104</v>
      </c>
      <c r="B28" s="46">
        <v>500</v>
      </c>
      <c r="C28" s="46">
        <v>500</v>
      </c>
      <c r="I28" s="15"/>
      <c r="J28" s="45" t="s">
        <v>104</v>
      </c>
      <c r="K28" s="46">
        <v>500</v>
      </c>
      <c r="L28" s="46">
        <v>500</v>
      </c>
    </row>
    <row r="29" spans="1:12" x14ac:dyDescent="0.3">
      <c r="A29" s="45" t="s">
        <v>19</v>
      </c>
      <c r="B29" s="46">
        <v>300</v>
      </c>
      <c r="C29" s="46">
        <v>300</v>
      </c>
      <c r="I29" s="15"/>
      <c r="J29" s="45" t="s">
        <v>19</v>
      </c>
      <c r="K29" s="46">
        <v>300</v>
      </c>
      <c r="L29" s="46">
        <v>300</v>
      </c>
    </row>
    <row r="30" spans="1:12" x14ac:dyDescent="0.3">
      <c r="A30" s="45" t="s">
        <v>13</v>
      </c>
      <c r="B30" s="46">
        <v>350</v>
      </c>
      <c r="C30" s="46">
        <v>350</v>
      </c>
      <c r="I30" s="15"/>
      <c r="J30" s="45" t="s">
        <v>13</v>
      </c>
      <c r="K30" s="46">
        <v>350</v>
      </c>
      <c r="L30" s="46">
        <v>350</v>
      </c>
    </row>
    <row r="31" spans="1:12" x14ac:dyDescent="0.3">
      <c r="A31" s="45" t="s">
        <v>106</v>
      </c>
      <c r="B31" s="46">
        <v>300</v>
      </c>
      <c r="C31" s="46">
        <v>300</v>
      </c>
      <c r="I31" s="15"/>
      <c r="J31" s="45" t="s">
        <v>106</v>
      </c>
      <c r="K31" s="46">
        <v>300</v>
      </c>
      <c r="L31" s="46">
        <v>300</v>
      </c>
    </row>
    <row r="32" spans="1:12" x14ac:dyDescent="0.3">
      <c r="A32" s="45" t="s">
        <v>128</v>
      </c>
      <c r="B32" s="46">
        <v>1000</v>
      </c>
      <c r="C32" s="46">
        <v>1000</v>
      </c>
      <c r="I32" s="15"/>
      <c r="J32" s="45" t="s">
        <v>128</v>
      </c>
      <c r="K32" s="46">
        <v>1000</v>
      </c>
      <c r="L32" s="46">
        <v>1000</v>
      </c>
    </row>
    <row r="33" spans="1:12" x14ac:dyDescent="0.3">
      <c r="A33" s="45" t="s">
        <v>107</v>
      </c>
      <c r="B33" s="46">
        <v>3500</v>
      </c>
      <c r="C33" s="46">
        <v>3500</v>
      </c>
      <c r="I33" s="15"/>
      <c r="J33" s="45" t="s">
        <v>107</v>
      </c>
      <c r="K33" s="46">
        <v>3500</v>
      </c>
      <c r="L33" s="46">
        <v>3500</v>
      </c>
    </row>
    <row r="34" spans="1:12" x14ac:dyDescent="0.3">
      <c r="A34" s="45" t="s">
        <v>138</v>
      </c>
      <c r="B34" s="46">
        <v>500</v>
      </c>
      <c r="C34" s="46">
        <v>500</v>
      </c>
      <c r="I34" s="15"/>
      <c r="J34" s="45" t="s">
        <v>138</v>
      </c>
      <c r="K34" s="46">
        <v>500</v>
      </c>
      <c r="L34" s="46">
        <v>500</v>
      </c>
    </row>
    <row r="35" spans="1:12" x14ac:dyDescent="0.3">
      <c r="A35" s="45" t="s">
        <v>139</v>
      </c>
      <c r="B35" s="46">
        <v>1000</v>
      </c>
      <c r="C35" s="46">
        <v>1200</v>
      </c>
      <c r="I35" s="15"/>
      <c r="J35" s="45" t="s">
        <v>139</v>
      </c>
      <c r="K35" s="46">
        <v>1000</v>
      </c>
      <c r="L35" s="46">
        <v>1200</v>
      </c>
    </row>
    <row r="36" spans="1:12" x14ac:dyDescent="0.3">
      <c r="A36" s="45" t="s">
        <v>118</v>
      </c>
      <c r="B36" s="46">
        <v>300</v>
      </c>
      <c r="C36" s="46">
        <v>300</v>
      </c>
      <c r="I36" s="15"/>
      <c r="J36" s="45" t="s">
        <v>118</v>
      </c>
      <c r="K36" s="46">
        <v>300</v>
      </c>
      <c r="L36" s="46">
        <v>300</v>
      </c>
    </row>
    <row r="37" spans="1:12" x14ac:dyDescent="0.3">
      <c r="A37" s="45" t="s">
        <v>14</v>
      </c>
      <c r="B37" s="46">
        <v>800</v>
      </c>
      <c r="C37" s="46">
        <v>1000</v>
      </c>
      <c r="I37" s="15"/>
      <c r="J37" s="45" t="s">
        <v>14</v>
      </c>
      <c r="K37" s="46">
        <v>800</v>
      </c>
      <c r="L37" s="46">
        <v>1000</v>
      </c>
    </row>
    <row r="38" spans="1:12" x14ac:dyDescent="0.3">
      <c r="A38" s="45" t="s">
        <v>86</v>
      </c>
      <c r="B38" s="46">
        <v>1000</v>
      </c>
      <c r="C38" s="46">
        <v>2000</v>
      </c>
      <c r="I38" s="15"/>
      <c r="J38" s="45" t="s">
        <v>86</v>
      </c>
      <c r="K38" s="46">
        <v>1000</v>
      </c>
      <c r="L38" s="46">
        <v>2000</v>
      </c>
    </row>
    <row r="39" spans="1:12" x14ac:dyDescent="0.3">
      <c r="A39" s="45" t="s">
        <v>31</v>
      </c>
      <c r="B39" s="46">
        <v>1000</v>
      </c>
      <c r="C39" s="46">
        <v>1000</v>
      </c>
      <c r="I39" s="15"/>
      <c r="J39" s="45" t="s">
        <v>31</v>
      </c>
      <c r="K39" s="46">
        <v>1000</v>
      </c>
      <c r="L39" s="46">
        <v>1000</v>
      </c>
    </row>
    <row r="40" spans="1:12" x14ac:dyDescent="0.3">
      <c r="A40" s="45" t="s">
        <v>44</v>
      </c>
      <c r="B40" s="46">
        <v>300</v>
      </c>
      <c r="C40" s="46">
        <v>500</v>
      </c>
      <c r="I40" s="15"/>
      <c r="J40" s="45" t="s">
        <v>44</v>
      </c>
      <c r="K40" s="46">
        <v>300</v>
      </c>
      <c r="L40" s="46">
        <v>500</v>
      </c>
    </row>
    <row r="41" spans="1:12" x14ac:dyDescent="0.3">
      <c r="A41" s="45" t="s">
        <v>29</v>
      </c>
      <c r="B41" s="46">
        <v>400</v>
      </c>
      <c r="C41" s="46">
        <v>400</v>
      </c>
      <c r="I41" s="15"/>
      <c r="J41" s="45" t="s">
        <v>29</v>
      </c>
      <c r="K41" s="46">
        <v>400</v>
      </c>
      <c r="L41" s="46">
        <v>400</v>
      </c>
    </row>
    <row r="42" spans="1:12" x14ac:dyDescent="0.3">
      <c r="A42" s="45" t="s">
        <v>56</v>
      </c>
      <c r="B42" s="46">
        <v>1000</v>
      </c>
      <c r="C42" s="46">
        <v>1000</v>
      </c>
      <c r="I42" s="15"/>
      <c r="J42" s="45" t="s">
        <v>56</v>
      </c>
      <c r="K42" s="46">
        <v>1000</v>
      </c>
      <c r="L42" s="46">
        <v>1000</v>
      </c>
    </row>
    <row r="43" spans="1:12" x14ac:dyDescent="0.3">
      <c r="A43" s="45" t="s">
        <v>11</v>
      </c>
      <c r="B43" s="46">
        <v>350</v>
      </c>
      <c r="C43" s="46">
        <v>700</v>
      </c>
      <c r="I43" s="15"/>
      <c r="J43" s="45" t="s">
        <v>11</v>
      </c>
      <c r="K43" s="46">
        <v>350</v>
      </c>
      <c r="L43" s="46">
        <v>700</v>
      </c>
    </row>
    <row r="44" spans="1:12" x14ac:dyDescent="0.3">
      <c r="A44" s="45" t="s">
        <v>102</v>
      </c>
      <c r="B44" s="46">
        <v>3000</v>
      </c>
      <c r="C44" s="46">
        <v>5000</v>
      </c>
      <c r="I44" s="15"/>
      <c r="J44" s="45" t="s">
        <v>102</v>
      </c>
      <c r="K44" s="46">
        <v>3000</v>
      </c>
      <c r="L44" s="46">
        <v>5000</v>
      </c>
    </row>
    <row r="45" spans="1:12" x14ac:dyDescent="0.3">
      <c r="A45" s="45" t="s">
        <v>42</v>
      </c>
      <c r="B45" s="46">
        <v>5000</v>
      </c>
      <c r="C45" s="46">
        <v>12000</v>
      </c>
      <c r="I45" s="15"/>
      <c r="J45" s="45" t="s">
        <v>42</v>
      </c>
      <c r="K45" s="46">
        <v>5000</v>
      </c>
      <c r="L45" s="46">
        <v>12000</v>
      </c>
    </row>
    <row r="46" spans="1:12" x14ac:dyDescent="0.3">
      <c r="A46" s="45" t="s">
        <v>108</v>
      </c>
      <c r="B46" s="46">
        <v>1000</v>
      </c>
      <c r="C46" s="46">
        <v>2000</v>
      </c>
      <c r="I46" s="3"/>
      <c r="J46" s="45" t="s">
        <v>108</v>
      </c>
      <c r="K46" s="46">
        <v>1000</v>
      </c>
      <c r="L46" s="46">
        <v>2000</v>
      </c>
    </row>
    <row r="47" spans="1:12" x14ac:dyDescent="0.3">
      <c r="A47" s="45" t="s">
        <v>127</v>
      </c>
      <c r="B47" s="46">
        <v>3000</v>
      </c>
      <c r="C47" s="46">
        <v>4000</v>
      </c>
      <c r="D47" s="15"/>
      <c r="I47" s="8"/>
      <c r="J47" s="45" t="s">
        <v>127</v>
      </c>
      <c r="K47" s="46">
        <v>3000</v>
      </c>
      <c r="L47" s="46">
        <v>4000</v>
      </c>
    </row>
    <row r="48" spans="1:12" x14ac:dyDescent="0.3">
      <c r="A48" s="45" t="s">
        <v>122</v>
      </c>
      <c r="B48" s="46">
        <v>1000</v>
      </c>
      <c r="C48" s="46">
        <v>6000</v>
      </c>
      <c r="I48" s="8"/>
      <c r="J48" s="3"/>
      <c r="K48" s="13"/>
      <c r="L48" s="13"/>
    </row>
    <row r="49" spans="1:12" x14ac:dyDescent="0.3">
      <c r="A49" s="45" t="s">
        <v>59</v>
      </c>
      <c r="B49" s="46">
        <v>50</v>
      </c>
      <c r="C49" s="46">
        <v>150</v>
      </c>
      <c r="I49" s="8"/>
      <c r="J49" s="3"/>
      <c r="K49" s="13"/>
      <c r="L49" s="13"/>
    </row>
    <row r="50" spans="1:12" x14ac:dyDescent="0.3">
      <c r="A50" s="45" t="s">
        <v>119</v>
      </c>
      <c r="B50" s="46">
        <v>200</v>
      </c>
      <c r="C50" s="46">
        <v>300</v>
      </c>
      <c r="D50" s="15"/>
      <c r="I50" s="8"/>
      <c r="J50" s="3"/>
      <c r="K50" s="13"/>
      <c r="L50" s="13"/>
    </row>
    <row r="51" spans="1:12" x14ac:dyDescent="0.3">
      <c r="A51" s="45" t="s">
        <v>124</v>
      </c>
      <c r="B51" s="46">
        <v>500</v>
      </c>
      <c r="C51" s="46">
        <v>500</v>
      </c>
      <c r="I51" s="8"/>
      <c r="J51" s="3"/>
      <c r="K51" s="13"/>
      <c r="L51" s="13"/>
    </row>
    <row r="52" spans="1:12" x14ac:dyDescent="0.3">
      <c r="A52" s="45" t="s">
        <v>78</v>
      </c>
      <c r="B52" s="46">
        <v>300</v>
      </c>
      <c r="C52" s="46">
        <v>500</v>
      </c>
      <c r="I52" s="8"/>
      <c r="J52" s="3"/>
      <c r="K52" s="13"/>
      <c r="L52" s="13"/>
    </row>
    <row r="53" spans="1:12" x14ac:dyDescent="0.3">
      <c r="A53" s="45" t="s">
        <v>129</v>
      </c>
      <c r="B53" s="46">
        <v>100</v>
      </c>
      <c r="C53" s="46">
        <v>300</v>
      </c>
      <c r="I53" s="8"/>
      <c r="J53" s="3"/>
      <c r="K53" s="13"/>
      <c r="L53" s="13"/>
    </row>
    <row r="54" spans="1:12" x14ac:dyDescent="0.3">
      <c r="A54" s="45" t="s">
        <v>133</v>
      </c>
      <c r="B54" s="46">
        <v>500</v>
      </c>
      <c r="C54" s="46">
        <v>2000</v>
      </c>
      <c r="I54" s="8"/>
      <c r="J54" s="3"/>
      <c r="K54" s="13"/>
      <c r="L54" s="13"/>
    </row>
    <row r="55" spans="1:12" x14ac:dyDescent="0.3">
      <c r="A55" s="45" t="s">
        <v>63</v>
      </c>
      <c r="B55" s="46">
        <v>600</v>
      </c>
      <c r="C55" s="46">
        <v>800</v>
      </c>
      <c r="I55" s="8"/>
      <c r="J55" s="3"/>
      <c r="K55" s="13"/>
      <c r="L55" s="13"/>
    </row>
    <row r="56" spans="1:12" x14ac:dyDescent="0.3">
      <c r="A56" s="45" t="s">
        <v>121</v>
      </c>
      <c r="B56" s="46">
        <v>1000</v>
      </c>
      <c r="C56" s="46">
        <v>1500</v>
      </c>
      <c r="I56" s="8"/>
      <c r="J56" s="3"/>
      <c r="K56" s="13"/>
      <c r="L56" s="13"/>
    </row>
    <row r="57" spans="1:12" x14ac:dyDescent="0.3">
      <c r="A57" s="45" t="s">
        <v>126</v>
      </c>
      <c r="B57" s="46">
        <v>30</v>
      </c>
      <c r="C57" s="46">
        <v>40</v>
      </c>
      <c r="I57" s="8"/>
      <c r="J57" s="3"/>
      <c r="K57" s="13"/>
      <c r="L57" s="13"/>
    </row>
    <row r="58" spans="1:12" x14ac:dyDescent="0.3">
      <c r="A58" s="45" t="s">
        <v>69</v>
      </c>
      <c r="B58" s="46">
        <v>350</v>
      </c>
      <c r="C58" s="46">
        <v>350</v>
      </c>
      <c r="I58" s="8"/>
      <c r="J58" s="3"/>
      <c r="K58" s="13"/>
      <c r="L58" s="13"/>
    </row>
    <row r="59" spans="1:12" x14ac:dyDescent="0.3">
      <c r="A59" s="45" t="s">
        <v>123</v>
      </c>
      <c r="B59" s="46">
        <v>200</v>
      </c>
      <c r="C59" s="46">
        <v>500</v>
      </c>
      <c r="I59" s="8"/>
      <c r="J59" s="3"/>
      <c r="K59" s="13"/>
      <c r="L59" s="13"/>
    </row>
    <row r="60" spans="1:12" x14ac:dyDescent="0.3">
      <c r="A60" s="45" t="s">
        <v>125</v>
      </c>
      <c r="B60" s="46">
        <v>100</v>
      </c>
      <c r="C60" s="46">
        <v>500</v>
      </c>
      <c r="I60" s="8"/>
      <c r="J60" s="3"/>
      <c r="K60" s="13"/>
      <c r="L60" s="13"/>
    </row>
    <row r="61" spans="1:12" x14ac:dyDescent="0.3">
      <c r="A61" s="45" t="s">
        <v>137</v>
      </c>
      <c r="B61" s="46">
        <v>350</v>
      </c>
      <c r="C61" s="46">
        <v>350</v>
      </c>
      <c r="J61" s="3"/>
      <c r="K61" s="13"/>
      <c r="L61" s="13"/>
    </row>
    <row r="62" spans="1:12" x14ac:dyDescent="0.3">
      <c r="A62" s="45" t="s">
        <v>131</v>
      </c>
      <c r="B62" s="46">
        <v>700</v>
      </c>
      <c r="C62" s="46">
        <v>1000</v>
      </c>
      <c r="J62" s="3"/>
      <c r="K62" s="13"/>
      <c r="L62" s="13"/>
    </row>
  </sheetData>
  <sortState xmlns:xlrd2="http://schemas.microsoft.com/office/spreadsheetml/2017/richdata2" ref="A3:A47">
    <sortCondition ref="A3:A47"/>
  </sortState>
  <mergeCells count="3">
    <mergeCell ref="A1:C1"/>
    <mergeCell ref="F1:H1"/>
    <mergeCell ref="J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C05B-7254-468F-BF3F-150332A3962D}">
  <dimension ref="A1:K611"/>
  <sheetViews>
    <sheetView zoomScale="89" workbookViewId="0">
      <selection activeCell="D1" sqref="D1"/>
    </sheetView>
  </sheetViews>
  <sheetFormatPr defaultRowHeight="14.4" x14ac:dyDescent="0.3"/>
  <cols>
    <col min="1" max="1" width="18.88671875" style="10" customWidth="1"/>
    <col min="2" max="2" width="33.33203125" style="10" customWidth="1"/>
    <col min="3" max="3" width="19.5546875" style="44" customWidth="1"/>
    <col min="4" max="4" width="24.88671875" style="10" customWidth="1"/>
    <col min="5" max="5" width="34.33203125" style="10" customWidth="1"/>
    <col min="6" max="6" width="20.6640625" customWidth="1"/>
    <col min="7" max="7" width="14.6640625" customWidth="1"/>
    <col min="8" max="8" width="17.44140625" customWidth="1"/>
    <col min="9" max="9" width="14.6640625" customWidth="1"/>
    <col min="10" max="10" width="24.77734375" customWidth="1"/>
    <col min="11" max="11" width="12.33203125" bestFit="1" customWidth="1"/>
  </cols>
  <sheetData>
    <row r="1" spans="1:11" x14ac:dyDescent="0.3">
      <c r="A1" s="5" t="s">
        <v>0</v>
      </c>
      <c r="B1" s="2" t="s">
        <v>1</v>
      </c>
      <c r="C1" s="43" t="s">
        <v>207</v>
      </c>
      <c r="D1" s="2" t="s">
        <v>208</v>
      </c>
      <c r="E1" s="2" t="s">
        <v>4</v>
      </c>
      <c r="F1" s="2" t="s">
        <v>163</v>
      </c>
      <c r="G1" s="2" t="s">
        <v>176</v>
      </c>
      <c r="H1" s="2" t="s">
        <v>187</v>
      </c>
      <c r="I1" s="2" t="s">
        <v>188</v>
      </c>
      <c r="J1" s="2" t="s">
        <v>191</v>
      </c>
      <c r="K1" s="2" t="s">
        <v>202</v>
      </c>
    </row>
    <row r="2" spans="1:11" ht="15.6" x14ac:dyDescent="0.3">
      <c r="A2" s="9">
        <v>45474</v>
      </c>
      <c r="B2" s="3" t="s">
        <v>5</v>
      </c>
      <c r="C2" s="13">
        <v>70</v>
      </c>
      <c r="D2" s="3" t="s">
        <v>6</v>
      </c>
      <c r="E2" s="3" t="s">
        <v>7</v>
      </c>
      <c r="F2" s="10" t="str">
        <f>TEXT(A2, "mmm-yyyy")</f>
        <v>Jul-2024</v>
      </c>
      <c r="G2" t="str">
        <f>TEXT(A2,"yyyy-mm")</f>
        <v>2024-07</v>
      </c>
      <c r="H2" s="10">
        <f>VLOOKUP(B2, Price_List!$A$3:$C$62, 2, FALSE)</f>
        <v>60</v>
      </c>
      <c r="I2" s="10">
        <f>VLOOKUP(B2, Price_List!$A$3:$C$62, 3, FALSE)</f>
        <v>70</v>
      </c>
      <c r="J2" s="10" t="str">
        <f>IF(C2 &lt; H2, "Below Min(Bargain)", IF(C2 &gt; I2, "Above Max", "Within Range"))</f>
        <v>Within Range</v>
      </c>
      <c r="K2" s="10">
        <f>IF(C2 &lt; H2, H2 - C2, 0)</f>
        <v>0</v>
      </c>
    </row>
    <row r="3" spans="1:11" ht="15.6" x14ac:dyDescent="0.3">
      <c r="A3" s="9">
        <v>45474</v>
      </c>
      <c r="B3" s="3" t="s">
        <v>5</v>
      </c>
      <c r="C3" s="13">
        <v>70</v>
      </c>
      <c r="D3" s="3" t="s">
        <v>8</v>
      </c>
      <c r="E3" s="3" t="s">
        <v>7</v>
      </c>
      <c r="F3" s="10" t="str">
        <f>TEXT(A3, "mmm-yyyy")</f>
        <v>Jul-2024</v>
      </c>
      <c r="G3" t="str">
        <f t="shared" ref="G3:G66" si="0">TEXT(A3,"yyyy-mm")</f>
        <v>2024-07</v>
      </c>
      <c r="H3" s="10">
        <f>VLOOKUP(B3, Price_List!$A$3:$C$62, 2, FALSE)</f>
        <v>60</v>
      </c>
      <c r="I3" s="10">
        <f>VLOOKUP(B3, Price_List!$A$3:$C$62, 3, FALSE)</f>
        <v>70</v>
      </c>
      <c r="J3" s="10" t="str">
        <f t="shared" ref="J3:J66" si="1">IF(C3 &lt; H3, "Below Min(Bargain)", IF(C3 &gt; I3, "Above Max", "Within Range"))</f>
        <v>Within Range</v>
      </c>
      <c r="K3" s="10">
        <f t="shared" ref="K3:K66" si="2">IF(C3 &lt; H3, H3 - C3, 0)</f>
        <v>0</v>
      </c>
    </row>
    <row r="4" spans="1:11" ht="15.6" x14ac:dyDescent="0.3">
      <c r="A4" s="9">
        <v>45475</v>
      </c>
      <c r="B4" s="3" t="s">
        <v>5</v>
      </c>
      <c r="C4" s="13">
        <v>70</v>
      </c>
      <c r="D4" s="3" t="s">
        <v>8</v>
      </c>
      <c r="E4" s="3" t="s">
        <v>7</v>
      </c>
      <c r="F4" s="10" t="str">
        <f t="shared" ref="F4:F67" si="3">TEXT(A4, "mmm-yyyy")</f>
        <v>Jul-2024</v>
      </c>
      <c r="G4" t="str">
        <f t="shared" si="0"/>
        <v>2024-07</v>
      </c>
      <c r="H4" s="10">
        <f>VLOOKUP(B4, Price_List!$A$3:$C$62, 2, FALSE)</f>
        <v>60</v>
      </c>
      <c r="I4" s="10">
        <f>VLOOKUP(B4, Price_List!$A$3:$C$62, 3, FALSE)</f>
        <v>70</v>
      </c>
      <c r="J4" s="10" t="str">
        <f t="shared" si="1"/>
        <v>Within Range</v>
      </c>
      <c r="K4" s="10">
        <f t="shared" si="2"/>
        <v>0</v>
      </c>
    </row>
    <row r="5" spans="1:11" ht="15.6" x14ac:dyDescent="0.3">
      <c r="A5" s="9">
        <v>45477</v>
      </c>
      <c r="B5" s="3" t="s">
        <v>5</v>
      </c>
      <c r="C5" s="13">
        <v>60</v>
      </c>
      <c r="D5" s="3" t="s">
        <v>8</v>
      </c>
      <c r="E5" s="3" t="s">
        <v>7</v>
      </c>
      <c r="F5" s="10" t="str">
        <f t="shared" si="3"/>
        <v>Jul-2024</v>
      </c>
      <c r="G5" t="str">
        <f t="shared" si="0"/>
        <v>2024-07</v>
      </c>
      <c r="H5" s="10">
        <f>VLOOKUP(B5, Price_List!$A$3:$C$62, 2, FALSE)</f>
        <v>60</v>
      </c>
      <c r="I5" s="10">
        <f>VLOOKUP(B5, Price_List!$A$3:$C$62, 3, FALSE)</f>
        <v>70</v>
      </c>
      <c r="J5" s="10" t="str">
        <f t="shared" si="1"/>
        <v>Within Range</v>
      </c>
      <c r="K5" s="10">
        <f t="shared" si="2"/>
        <v>0</v>
      </c>
    </row>
    <row r="6" spans="1:11" ht="15.6" x14ac:dyDescent="0.3">
      <c r="A6" s="9">
        <v>45480</v>
      </c>
      <c r="B6" s="15" t="s">
        <v>102</v>
      </c>
      <c r="C6" s="13">
        <v>4500</v>
      </c>
      <c r="D6" s="3" t="s">
        <v>8</v>
      </c>
      <c r="E6" s="3" t="s">
        <v>7</v>
      </c>
      <c r="F6" s="10" t="str">
        <f t="shared" si="3"/>
        <v>Jul-2024</v>
      </c>
      <c r="G6" t="str">
        <f t="shared" si="0"/>
        <v>2024-07</v>
      </c>
      <c r="H6" s="10">
        <f>VLOOKUP(B6, Price_List!$A$3:$C$62, 2, FALSE)</f>
        <v>3000</v>
      </c>
      <c r="I6" s="10">
        <f>VLOOKUP(B6, Price_List!$A$3:$C$62, 3, FALSE)</f>
        <v>5000</v>
      </c>
      <c r="J6" s="10" t="str">
        <f t="shared" si="1"/>
        <v>Within Range</v>
      </c>
      <c r="K6" s="10">
        <f t="shared" si="2"/>
        <v>0</v>
      </c>
    </row>
    <row r="7" spans="1:11" ht="15.6" x14ac:dyDescent="0.3">
      <c r="A7" s="9">
        <v>45483</v>
      </c>
      <c r="B7" s="15" t="s">
        <v>103</v>
      </c>
      <c r="C7" s="13">
        <v>850</v>
      </c>
      <c r="D7" s="3" t="s">
        <v>8</v>
      </c>
      <c r="E7" s="3" t="s">
        <v>7</v>
      </c>
      <c r="F7" s="10" t="str">
        <f t="shared" si="3"/>
        <v>Jul-2024</v>
      </c>
      <c r="G7" t="str">
        <f t="shared" si="0"/>
        <v>2024-07</v>
      </c>
      <c r="H7" s="10">
        <f>VLOOKUP(B7, Price_List!$A$3:$C$62, 2, FALSE)</f>
        <v>800</v>
      </c>
      <c r="I7" s="10">
        <f>VLOOKUP(B7, Price_List!$A$3:$C$62, 3, FALSE)</f>
        <v>800</v>
      </c>
      <c r="J7" s="10" t="str">
        <f t="shared" si="1"/>
        <v>Above Max</v>
      </c>
      <c r="K7" s="10">
        <f t="shared" si="2"/>
        <v>0</v>
      </c>
    </row>
    <row r="8" spans="1:11" ht="15.6" x14ac:dyDescent="0.3">
      <c r="A8" s="9">
        <v>45483</v>
      </c>
      <c r="B8" s="3" t="s">
        <v>11</v>
      </c>
      <c r="C8" s="13">
        <v>140</v>
      </c>
      <c r="D8" s="3" t="s">
        <v>8</v>
      </c>
      <c r="E8" s="3" t="s">
        <v>7</v>
      </c>
      <c r="F8" s="10" t="str">
        <f t="shared" si="3"/>
        <v>Jul-2024</v>
      </c>
      <c r="G8" t="str">
        <f t="shared" si="0"/>
        <v>2024-07</v>
      </c>
      <c r="H8" s="10">
        <f>VLOOKUP(B8, Price_List!$A$3:$C$62, 2, FALSE)</f>
        <v>350</v>
      </c>
      <c r="I8" s="10">
        <f>VLOOKUP(B8, Price_List!$A$3:$C$62, 3, FALSE)</f>
        <v>700</v>
      </c>
      <c r="J8" s="10" t="str">
        <f t="shared" si="1"/>
        <v>Below Min(Bargain)</v>
      </c>
      <c r="K8" s="10">
        <f t="shared" si="2"/>
        <v>210</v>
      </c>
    </row>
    <row r="9" spans="1:11" ht="15.6" x14ac:dyDescent="0.3">
      <c r="A9" s="9">
        <v>45483</v>
      </c>
      <c r="B9" s="3" t="s">
        <v>5</v>
      </c>
      <c r="C9" s="13">
        <v>60</v>
      </c>
      <c r="D9" s="3" t="s">
        <v>8</v>
      </c>
      <c r="E9" s="3" t="s">
        <v>7</v>
      </c>
      <c r="F9" s="10" t="str">
        <f t="shared" si="3"/>
        <v>Jul-2024</v>
      </c>
      <c r="G9" t="str">
        <f t="shared" si="0"/>
        <v>2024-07</v>
      </c>
      <c r="H9" s="10">
        <f>VLOOKUP(B9, Price_List!$A$3:$C$62, 2, FALSE)</f>
        <v>60</v>
      </c>
      <c r="I9" s="10">
        <f>VLOOKUP(B9, Price_List!$A$3:$C$62, 3, FALSE)</f>
        <v>70</v>
      </c>
      <c r="J9" s="10" t="str">
        <f t="shared" si="1"/>
        <v>Within Range</v>
      </c>
      <c r="K9" s="10">
        <f t="shared" si="2"/>
        <v>0</v>
      </c>
    </row>
    <row r="10" spans="1:11" ht="15.6" x14ac:dyDescent="0.3">
      <c r="A10" s="9">
        <v>45486</v>
      </c>
      <c r="B10" s="3" t="s">
        <v>5</v>
      </c>
      <c r="C10" s="13">
        <v>60</v>
      </c>
      <c r="D10" s="3" t="s">
        <v>6</v>
      </c>
      <c r="E10" s="3" t="s">
        <v>7</v>
      </c>
      <c r="F10" s="10" t="str">
        <f t="shared" si="3"/>
        <v>Jul-2024</v>
      </c>
      <c r="G10" t="str">
        <f t="shared" si="0"/>
        <v>2024-07</v>
      </c>
      <c r="H10" s="10">
        <f>VLOOKUP(B10, Price_List!$A$3:$C$62, 2, FALSE)</f>
        <v>60</v>
      </c>
      <c r="I10" s="10">
        <f>VLOOKUP(B10, Price_List!$A$3:$C$62, 3, FALSE)</f>
        <v>70</v>
      </c>
      <c r="J10" s="10" t="str">
        <f t="shared" si="1"/>
        <v>Within Range</v>
      </c>
      <c r="K10" s="10">
        <f t="shared" si="2"/>
        <v>0</v>
      </c>
    </row>
    <row r="11" spans="1:11" ht="15.6" x14ac:dyDescent="0.3">
      <c r="A11" s="9">
        <v>45487</v>
      </c>
      <c r="B11" s="3" t="s">
        <v>5</v>
      </c>
      <c r="C11" s="13">
        <v>60</v>
      </c>
      <c r="D11" s="3" t="s">
        <v>6</v>
      </c>
      <c r="E11" s="3" t="s">
        <v>7</v>
      </c>
      <c r="F11" s="10" t="str">
        <f t="shared" si="3"/>
        <v>Jul-2024</v>
      </c>
      <c r="G11" t="str">
        <f t="shared" si="0"/>
        <v>2024-07</v>
      </c>
      <c r="H11" s="10">
        <f>VLOOKUP(B11, Price_List!$A$3:$C$62, 2, FALSE)</f>
        <v>60</v>
      </c>
      <c r="I11" s="10">
        <f>VLOOKUP(B11, Price_List!$A$3:$C$62, 3, FALSE)</f>
        <v>70</v>
      </c>
      <c r="J11" s="10" t="str">
        <f t="shared" si="1"/>
        <v>Within Range</v>
      </c>
      <c r="K11" s="10">
        <f t="shared" si="2"/>
        <v>0</v>
      </c>
    </row>
    <row r="12" spans="1:11" ht="15.6" x14ac:dyDescent="0.3">
      <c r="A12" s="9">
        <v>45488</v>
      </c>
      <c r="B12" s="3" t="s">
        <v>5</v>
      </c>
      <c r="C12" s="13">
        <v>60</v>
      </c>
      <c r="D12" s="3" t="s">
        <v>8</v>
      </c>
      <c r="E12" s="3" t="s">
        <v>7</v>
      </c>
      <c r="F12" s="10" t="str">
        <f t="shared" si="3"/>
        <v>Jul-2024</v>
      </c>
      <c r="G12" t="str">
        <f t="shared" si="0"/>
        <v>2024-07</v>
      </c>
      <c r="H12" s="10">
        <f>VLOOKUP(B12, Price_List!$A$3:$C$62, 2, FALSE)</f>
        <v>60</v>
      </c>
      <c r="I12" s="10">
        <f>VLOOKUP(B12, Price_List!$A$3:$C$62, 3, FALSE)</f>
        <v>70</v>
      </c>
      <c r="J12" s="10" t="str">
        <f t="shared" si="1"/>
        <v>Within Range</v>
      </c>
      <c r="K12" s="10">
        <f t="shared" si="2"/>
        <v>0</v>
      </c>
    </row>
    <row r="13" spans="1:11" ht="15.6" x14ac:dyDescent="0.3">
      <c r="A13" s="9">
        <v>45488</v>
      </c>
      <c r="B13" s="3" t="s">
        <v>12</v>
      </c>
      <c r="C13" s="13">
        <v>200</v>
      </c>
      <c r="D13" s="3" t="s">
        <v>8</v>
      </c>
      <c r="E13" s="3" t="s">
        <v>7</v>
      </c>
      <c r="F13" s="10" t="str">
        <f t="shared" si="3"/>
        <v>Jul-2024</v>
      </c>
      <c r="G13" t="str">
        <f t="shared" si="0"/>
        <v>2024-07</v>
      </c>
      <c r="H13" s="10">
        <f>VLOOKUP(B13, Price_List!$A$3:$C$62, 2, FALSE)</f>
        <v>350</v>
      </c>
      <c r="I13" s="10">
        <f>VLOOKUP(B13, Price_List!$A$3:$C$62, 3, FALSE)</f>
        <v>500</v>
      </c>
      <c r="J13" s="10" t="str">
        <f t="shared" si="1"/>
        <v>Below Min(Bargain)</v>
      </c>
      <c r="K13" s="10">
        <f t="shared" si="2"/>
        <v>150</v>
      </c>
    </row>
    <row r="14" spans="1:11" ht="15.6" x14ac:dyDescent="0.3">
      <c r="A14" s="9">
        <v>45489</v>
      </c>
      <c r="B14" s="3" t="s">
        <v>5</v>
      </c>
      <c r="C14" s="13">
        <v>60</v>
      </c>
      <c r="D14" s="3" t="s">
        <v>8</v>
      </c>
      <c r="E14" s="3" t="s">
        <v>7</v>
      </c>
      <c r="F14" s="10" t="str">
        <f t="shared" si="3"/>
        <v>Jul-2024</v>
      </c>
      <c r="G14" t="str">
        <f t="shared" si="0"/>
        <v>2024-07</v>
      </c>
      <c r="H14" s="10">
        <f>VLOOKUP(B14, Price_List!$A$3:$C$62, 2, FALSE)</f>
        <v>60</v>
      </c>
      <c r="I14" s="10">
        <f>VLOOKUP(B14, Price_List!$A$3:$C$62, 3, FALSE)</f>
        <v>70</v>
      </c>
      <c r="J14" s="10" t="str">
        <f t="shared" si="1"/>
        <v>Within Range</v>
      </c>
      <c r="K14" s="10">
        <f t="shared" si="2"/>
        <v>0</v>
      </c>
    </row>
    <row r="15" spans="1:11" ht="15.6" x14ac:dyDescent="0.3">
      <c r="A15" s="9">
        <v>45489</v>
      </c>
      <c r="B15" s="3" t="s">
        <v>5</v>
      </c>
      <c r="C15" s="13">
        <v>100</v>
      </c>
      <c r="D15" s="3" t="s">
        <v>8</v>
      </c>
      <c r="E15" s="3" t="s">
        <v>7</v>
      </c>
      <c r="F15" s="10" t="str">
        <f t="shared" si="3"/>
        <v>Jul-2024</v>
      </c>
      <c r="G15" t="str">
        <f t="shared" si="0"/>
        <v>2024-07</v>
      </c>
      <c r="H15" s="10">
        <f>VLOOKUP(B15, Price_List!$A$3:$C$62, 2, FALSE)</f>
        <v>60</v>
      </c>
      <c r="I15" s="10">
        <f>VLOOKUP(B15, Price_List!$A$3:$C$62, 3, FALSE)</f>
        <v>70</v>
      </c>
      <c r="J15" s="10" t="str">
        <f t="shared" si="1"/>
        <v>Above Max</v>
      </c>
      <c r="K15" s="10">
        <f t="shared" si="2"/>
        <v>0</v>
      </c>
    </row>
    <row r="16" spans="1:11" ht="15.6" x14ac:dyDescent="0.3">
      <c r="A16" s="9">
        <v>45489</v>
      </c>
      <c r="B16" s="3" t="s">
        <v>13</v>
      </c>
      <c r="C16" s="13">
        <v>350</v>
      </c>
      <c r="D16" s="3" t="s">
        <v>8</v>
      </c>
      <c r="E16" s="3" t="s">
        <v>7</v>
      </c>
      <c r="F16" s="10" t="str">
        <f t="shared" si="3"/>
        <v>Jul-2024</v>
      </c>
      <c r="G16" t="str">
        <f t="shared" si="0"/>
        <v>2024-07</v>
      </c>
      <c r="H16" s="10">
        <f>VLOOKUP(B16, Price_List!$A$3:$C$62, 2, FALSE)</f>
        <v>350</v>
      </c>
      <c r="I16" s="10">
        <f>VLOOKUP(B16, Price_List!$A$3:$C$62, 3, FALSE)</f>
        <v>350</v>
      </c>
      <c r="J16" s="10" t="str">
        <f t="shared" si="1"/>
        <v>Within Range</v>
      </c>
      <c r="K16" s="10">
        <f t="shared" si="2"/>
        <v>0</v>
      </c>
    </row>
    <row r="17" spans="1:11" ht="15.6" x14ac:dyDescent="0.3">
      <c r="A17" s="9">
        <v>45492</v>
      </c>
      <c r="B17" s="3" t="s">
        <v>14</v>
      </c>
      <c r="C17" s="13">
        <v>700</v>
      </c>
      <c r="D17" s="3" t="s">
        <v>8</v>
      </c>
      <c r="E17" s="3" t="s">
        <v>7</v>
      </c>
      <c r="F17" s="10" t="str">
        <f t="shared" si="3"/>
        <v>Jul-2024</v>
      </c>
      <c r="G17" t="str">
        <f t="shared" si="0"/>
        <v>2024-07</v>
      </c>
      <c r="H17" s="10">
        <f>VLOOKUP(B17, Price_List!$A$3:$C$62, 2, FALSE)</f>
        <v>800</v>
      </c>
      <c r="I17" s="10">
        <f>VLOOKUP(B17, Price_List!$A$3:$C$62, 3, FALSE)</f>
        <v>1000</v>
      </c>
      <c r="J17" s="10" t="str">
        <f t="shared" si="1"/>
        <v>Below Min(Bargain)</v>
      </c>
      <c r="K17" s="10">
        <f t="shared" si="2"/>
        <v>100</v>
      </c>
    </row>
    <row r="18" spans="1:11" ht="15.6" x14ac:dyDescent="0.3">
      <c r="A18" s="9">
        <v>45492</v>
      </c>
      <c r="B18" s="3" t="s">
        <v>5</v>
      </c>
      <c r="C18" s="13">
        <v>50</v>
      </c>
      <c r="D18" s="3" t="s">
        <v>6</v>
      </c>
      <c r="E18" s="3" t="s">
        <v>7</v>
      </c>
      <c r="F18" s="10" t="str">
        <f t="shared" si="3"/>
        <v>Jul-2024</v>
      </c>
      <c r="G18" t="str">
        <f t="shared" si="0"/>
        <v>2024-07</v>
      </c>
      <c r="H18" s="10">
        <f>VLOOKUP(B18, Price_List!$A$3:$C$62, 2, FALSE)</f>
        <v>60</v>
      </c>
      <c r="I18" s="10">
        <f>VLOOKUP(B18, Price_List!$A$3:$C$62, 3, FALSE)</f>
        <v>70</v>
      </c>
      <c r="J18" s="10" t="str">
        <f t="shared" si="1"/>
        <v>Below Min(Bargain)</v>
      </c>
      <c r="K18" s="10">
        <f t="shared" si="2"/>
        <v>10</v>
      </c>
    </row>
    <row r="19" spans="1:11" ht="15.6" x14ac:dyDescent="0.3">
      <c r="A19" s="9">
        <v>45492</v>
      </c>
      <c r="B19" s="15" t="s">
        <v>104</v>
      </c>
      <c r="C19" s="13">
        <v>500</v>
      </c>
      <c r="D19" s="3" t="s">
        <v>8</v>
      </c>
      <c r="E19" s="3" t="s">
        <v>7</v>
      </c>
      <c r="F19" s="10" t="str">
        <f t="shared" si="3"/>
        <v>Jul-2024</v>
      </c>
      <c r="G19" t="str">
        <f t="shared" si="0"/>
        <v>2024-07</v>
      </c>
      <c r="H19" s="10">
        <f>VLOOKUP(B19, Price_List!$A$3:$C$62, 2, FALSE)</f>
        <v>500</v>
      </c>
      <c r="I19" s="10">
        <f>VLOOKUP(B19, Price_List!$A$3:$C$62, 3, FALSE)</f>
        <v>500</v>
      </c>
      <c r="J19" s="10" t="str">
        <f t="shared" si="1"/>
        <v>Within Range</v>
      </c>
      <c r="K19" s="10">
        <f t="shared" si="2"/>
        <v>0</v>
      </c>
    </row>
    <row r="20" spans="1:11" ht="15.6" x14ac:dyDescent="0.3">
      <c r="A20" s="9">
        <v>45492</v>
      </c>
      <c r="B20" s="3" t="s">
        <v>16</v>
      </c>
      <c r="C20" s="13">
        <v>400</v>
      </c>
      <c r="D20" s="3" t="s">
        <v>8</v>
      </c>
      <c r="E20" s="3" t="s">
        <v>7</v>
      </c>
      <c r="F20" s="10" t="str">
        <f t="shared" si="3"/>
        <v>Jul-2024</v>
      </c>
      <c r="G20" t="str">
        <f t="shared" si="0"/>
        <v>2024-07</v>
      </c>
      <c r="H20" s="10">
        <f>VLOOKUP(B20, Price_List!$A$3:$C$62, 2, FALSE)</f>
        <v>500</v>
      </c>
      <c r="I20" s="10">
        <f>VLOOKUP(B20, Price_List!$A$3:$C$62, 3, FALSE)</f>
        <v>500</v>
      </c>
      <c r="J20" s="10" t="str">
        <f t="shared" si="1"/>
        <v>Below Min(Bargain)</v>
      </c>
      <c r="K20" s="10">
        <f t="shared" si="2"/>
        <v>100</v>
      </c>
    </row>
    <row r="21" spans="1:11" ht="15.6" x14ac:dyDescent="0.3">
      <c r="A21" s="9">
        <v>45493</v>
      </c>
      <c r="B21" s="3" t="s">
        <v>5</v>
      </c>
      <c r="C21" s="13">
        <v>50</v>
      </c>
      <c r="D21" s="3" t="s">
        <v>8</v>
      </c>
      <c r="E21" s="3" t="s">
        <v>7</v>
      </c>
      <c r="F21" s="10" t="str">
        <f t="shared" si="3"/>
        <v>Jul-2024</v>
      </c>
      <c r="G21" t="str">
        <f t="shared" si="0"/>
        <v>2024-07</v>
      </c>
      <c r="H21" s="10">
        <f>VLOOKUP(B21, Price_List!$A$3:$C$62, 2, FALSE)</f>
        <v>60</v>
      </c>
      <c r="I21" s="10">
        <f>VLOOKUP(B21, Price_List!$A$3:$C$62, 3, FALSE)</f>
        <v>70</v>
      </c>
      <c r="J21" s="10" t="str">
        <f t="shared" si="1"/>
        <v>Below Min(Bargain)</v>
      </c>
      <c r="K21" s="10">
        <f t="shared" si="2"/>
        <v>10</v>
      </c>
    </row>
    <row r="22" spans="1:11" ht="15.6" x14ac:dyDescent="0.3">
      <c r="A22" s="9">
        <v>45495</v>
      </c>
      <c r="B22" s="15" t="s">
        <v>105</v>
      </c>
      <c r="C22" s="13">
        <v>1100</v>
      </c>
      <c r="D22" s="3" t="s">
        <v>6</v>
      </c>
      <c r="E22" s="3" t="s">
        <v>7</v>
      </c>
      <c r="F22" s="10" t="str">
        <f t="shared" si="3"/>
        <v>Jul-2024</v>
      </c>
      <c r="G22" t="str">
        <f t="shared" si="0"/>
        <v>2024-07</v>
      </c>
      <c r="H22" s="10">
        <f>VLOOKUP(B22, Price_List!$A$3:$C$62, 2, FALSE)</f>
        <v>1100</v>
      </c>
      <c r="I22" s="10">
        <f>VLOOKUP(B22, Price_List!$A$3:$C$62, 3, FALSE)</f>
        <v>1100</v>
      </c>
      <c r="J22" s="10" t="str">
        <f t="shared" si="1"/>
        <v>Within Range</v>
      </c>
      <c r="K22" s="10">
        <f t="shared" si="2"/>
        <v>0</v>
      </c>
    </row>
    <row r="23" spans="1:11" ht="15.6" x14ac:dyDescent="0.3">
      <c r="A23" s="9">
        <v>45495</v>
      </c>
      <c r="B23" s="3" t="s">
        <v>5</v>
      </c>
      <c r="C23" s="13">
        <v>50</v>
      </c>
      <c r="D23" s="3" t="s">
        <v>8</v>
      </c>
      <c r="E23" s="3" t="s">
        <v>7</v>
      </c>
      <c r="F23" s="10" t="str">
        <f t="shared" si="3"/>
        <v>Jul-2024</v>
      </c>
      <c r="G23" t="str">
        <f t="shared" si="0"/>
        <v>2024-07</v>
      </c>
      <c r="H23" s="10">
        <f>VLOOKUP(B23, Price_List!$A$3:$C$62, 2, FALSE)</f>
        <v>60</v>
      </c>
      <c r="I23" s="10">
        <f>VLOOKUP(B23, Price_List!$A$3:$C$62, 3, FALSE)</f>
        <v>70</v>
      </c>
      <c r="J23" s="10" t="str">
        <f t="shared" si="1"/>
        <v>Below Min(Bargain)</v>
      </c>
      <c r="K23" s="10">
        <f t="shared" si="2"/>
        <v>10</v>
      </c>
    </row>
    <row r="24" spans="1:11" ht="15.6" x14ac:dyDescent="0.3">
      <c r="A24" s="9">
        <v>45495</v>
      </c>
      <c r="B24" s="3" t="s">
        <v>11</v>
      </c>
      <c r="C24" s="13">
        <v>450</v>
      </c>
      <c r="D24" s="3" t="s">
        <v>8</v>
      </c>
      <c r="E24" s="3" t="s">
        <v>7</v>
      </c>
      <c r="F24" s="10" t="str">
        <f t="shared" si="3"/>
        <v>Jul-2024</v>
      </c>
      <c r="G24" t="str">
        <f t="shared" si="0"/>
        <v>2024-07</v>
      </c>
      <c r="H24" s="10">
        <f>VLOOKUP(B24, Price_List!$A$3:$C$62, 2, FALSE)</f>
        <v>350</v>
      </c>
      <c r="I24" s="10">
        <f>VLOOKUP(B24, Price_List!$A$3:$C$62, 3, FALSE)</f>
        <v>700</v>
      </c>
      <c r="J24" s="10" t="str">
        <f t="shared" si="1"/>
        <v>Within Range</v>
      </c>
      <c r="K24" s="10">
        <f t="shared" si="2"/>
        <v>0</v>
      </c>
    </row>
    <row r="25" spans="1:11" ht="15.6" x14ac:dyDescent="0.3">
      <c r="A25" s="9">
        <v>45496</v>
      </c>
      <c r="B25" s="3" t="s">
        <v>14</v>
      </c>
      <c r="C25" s="13">
        <v>740</v>
      </c>
      <c r="D25" s="3" t="s">
        <v>8</v>
      </c>
      <c r="E25" s="3" t="s">
        <v>7</v>
      </c>
      <c r="F25" s="10" t="str">
        <f t="shared" si="3"/>
        <v>Jul-2024</v>
      </c>
      <c r="G25" t="str">
        <f t="shared" si="0"/>
        <v>2024-07</v>
      </c>
      <c r="H25" s="10">
        <f>VLOOKUP(B25, Price_List!$A$3:$C$62, 2, FALSE)</f>
        <v>800</v>
      </c>
      <c r="I25" s="10">
        <f>VLOOKUP(B25, Price_List!$A$3:$C$62, 3, FALSE)</f>
        <v>1000</v>
      </c>
      <c r="J25" s="10" t="str">
        <f t="shared" si="1"/>
        <v>Below Min(Bargain)</v>
      </c>
      <c r="K25" s="10">
        <f t="shared" si="2"/>
        <v>60</v>
      </c>
    </row>
    <row r="26" spans="1:11" ht="15.6" x14ac:dyDescent="0.3">
      <c r="A26" s="9">
        <v>45496</v>
      </c>
      <c r="B26" s="3" t="s">
        <v>5</v>
      </c>
      <c r="C26" s="13">
        <v>60</v>
      </c>
      <c r="D26" s="3" t="s">
        <v>8</v>
      </c>
      <c r="E26" s="3" t="s">
        <v>7</v>
      </c>
      <c r="F26" s="10" t="str">
        <f t="shared" si="3"/>
        <v>Jul-2024</v>
      </c>
      <c r="G26" t="str">
        <f t="shared" si="0"/>
        <v>2024-07</v>
      </c>
      <c r="H26" s="10">
        <f>VLOOKUP(B26, Price_List!$A$3:$C$62, 2, FALSE)</f>
        <v>60</v>
      </c>
      <c r="I26" s="10">
        <f>VLOOKUP(B26, Price_List!$A$3:$C$62, 3, FALSE)</f>
        <v>70</v>
      </c>
      <c r="J26" s="10" t="str">
        <f t="shared" si="1"/>
        <v>Within Range</v>
      </c>
      <c r="K26" s="10">
        <f t="shared" si="2"/>
        <v>0</v>
      </c>
    </row>
    <row r="27" spans="1:11" ht="15.6" x14ac:dyDescent="0.3">
      <c r="A27" s="9">
        <v>45497</v>
      </c>
      <c r="B27" s="3" t="s">
        <v>14</v>
      </c>
      <c r="C27" s="13">
        <v>600</v>
      </c>
      <c r="D27" s="3" t="s">
        <v>8</v>
      </c>
      <c r="E27" s="3" t="s">
        <v>7</v>
      </c>
      <c r="F27" s="10" t="str">
        <f t="shared" si="3"/>
        <v>Jul-2024</v>
      </c>
      <c r="G27" t="str">
        <f t="shared" si="0"/>
        <v>2024-07</v>
      </c>
      <c r="H27" s="10">
        <f>VLOOKUP(B27, Price_List!$A$3:$C$62, 2, FALSE)</f>
        <v>800</v>
      </c>
      <c r="I27" s="10">
        <f>VLOOKUP(B27, Price_List!$A$3:$C$62, 3, FALSE)</f>
        <v>1000</v>
      </c>
      <c r="J27" s="10" t="str">
        <f t="shared" si="1"/>
        <v>Below Min(Bargain)</v>
      </c>
      <c r="K27" s="10">
        <f t="shared" si="2"/>
        <v>200</v>
      </c>
    </row>
    <row r="28" spans="1:11" ht="15.6" x14ac:dyDescent="0.3">
      <c r="A28" s="9">
        <v>45497</v>
      </c>
      <c r="B28" s="3" t="s">
        <v>14</v>
      </c>
      <c r="C28" s="13">
        <v>550</v>
      </c>
      <c r="D28" s="3" t="s">
        <v>8</v>
      </c>
      <c r="E28" s="3" t="s">
        <v>7</v>
      </c>
      <c r="F28" s="10" t="str">
        <f t="shared" si="3"/>
        <v>Jul-2024</v>
      </c>
      <c r="G28" t="str">
        <f t="shared" si="0"/>
        <v>2024-07</v>
      </c>
      <c r="H28" s="10">
        <f>VLOOKUP(B28, Price_List!$A$3:$C$62, 2, FALSE)</f>
        <v>800</v>
      </c>
      <c r="I28" s="10">
        <f>VLOOKUP(B28, Price_List!$A$3:$C$62, 3, FALSE)</f>
        <v>1000</v>
      </c>
      <c r="J28" s="10" t="str">
        <f t="shared" si="1"/>
        <v>Below Min(Bargain)</v>
      </c>
      <c r="K28" s="10">
        <f t="shared" si="2"/>
        <v>250</v>
      </c>
    </row>
    <row r="29" spans="1:11" ht="15.6" x14ac:dyDescent="0.3">
      <c r="A29" s="9">
        <v>45497</v>
      </c>
      <c r="B29" s="3" t="s">
        <v>5</v>
      </c>
      <c r="C29" s="13">
        <v>60</v>
      </c>
      <c r="D29" s="3" t="s">
        <v>6</v>
      </c>
      <c r="E29" s="3" t="s">
        <v>7</v>
      </c>
      <c r="F29" s="10" t="str">
        <f t="shared" si="3"/>
        <v>Jul-2024</v>
      </c>
      <c r="G29" t="str">
        <f t="shared" si="0"/>
        <v>2024-07</v>
      </c>
      <c r="H29" s="10">
        <f>VLOOKUP(B29, Price_List!$A$3:$C$62, 2, FALSE)</f>
        <v>60</v>
      </c>
      <c r="I29" s="10">
        <f>VLOOKUP(B29, Price_List!$A$3:$C$62, 3, FALSE)</f>
        <v>70</v>
      </c>
      <c r="J29" s="10" t="str">
        <f t="shared" si="1"/>
        <v>Within Range</v>
      </c>
      <c r="K29" s="10">
        <f t="shared" si="2"/>
        <v>0</v>
      </c>
    </row>
    <row r="30" spans="1:11" ht="15.6" x14ac:dyDescent="0.3">
      <c r="A30" s="9">
        <v>45498</v>
      </c>
      <c r="B30" s="3" t="s">
        <v>18</v>
      </c>
      <c r="C30" s="13">
        <v>300</v>
      </c>
      <c r="D30" s="3" t="s">
        <v>8</v>
      </c>
      <c r="E30" s="3" t="s">
        <v>7</v>
      </c>
      <c r="F30" s="10" t="str">
        <f t="shared" si="3"/>
        <v>Jul-2024</v>
      </c>
      <c r="G30" t="str">
        <f t="shared" si="0"/>
        <v>2024-07</v>
      </c>
      <c r="H30" s="10">
        <f>VLOOKUP(B30, Price_List!$A$3:$C$62, 2, FALSE)</f>
        <v>700</v>
      </c>
      <c r="I30" s="10">
        <f>VLOOKUP(B30, Price_List!$A$3:$C$62, 3, FALSE)</f>
        <v>700</v>
      </c>
      <c r="J30" s="10" t="str">
        <f t="shared" si="1"/>
        <v>Below Min(Bargain)</v>
      </c>
      <c r="K30" s="10">
        <f t="shared" si="2"/>
        <v>400</v>
      </c>
    </row>
    <row r="31" spans="1:11" ht="15.6" x14ac:dyDescent="0.3">
      <c r="A31" s="9">
        <v>45498</v>
      </c>
      <c r="B31" s="3" t="s">
        <v>5</v>
      </c>
      <c r="C31" s="13">
        <v>40</v>
      </c>
      <c r="D31" s="3" t="s">
        <v>8</v>
      </c>
      <c r="E31" s="3" t="s">
        <v>7</v>
      </c>
      <c r="F31" s="10" t="str">
        <f t="shared" si="3"/>
        <v>Jul-2024</v>
      </c>
      <c r="G31" t="str">
        <f t="shared" si="0"/>
        <v>2024-07</v>
      </c>
      <c r="H31" s="10">
        <f>VLOOKUP(B31, Price_List!$A$3:$C$62, 2, FALSE)</f>
        <v>60</v>
      </c>
      <c r="I31" s="10">
        <f>VLOOKUP(B31, Price_List!$A$3:$C$62, 3, FALSE)</f>
        <v>70</v>
      </c>
      <c r="J31" s="10" t="str">
        <f t="shared" si="1"/>
        <v>Below Min(Bargain)</v>
      </c>
      <c r="K31" s="10">
        <f t="shared" si="2"/>
        <v>20</v>
      </c>
    </row>
    <row r="32" spans="1:11" ht="15.6" x14ac:dyDescent="0.3">
      <c r="A32" s="9">
        <v>45498</v>
      </c>
      <c r="B32" s="3" t="s">
        <v>18</v>
      </c>
      <c r="C32" s="13">
        <v>500</v>
      </c>
      <c r="D32" s="3" t="s">
        <v>8</v>
      </c>
      <c r="E32" s="3" t="s">
        <v>7</v>
      </c>
      <c r="F32" s="10" t="str">
        <f t="shared" si="3"/>
        <v>Jul-2024</v>
      </c>
      <c r="G32" t="str">
        <f t="shared" si="0"/>
        <v>2024-07</v>
      </c>
      <c r="H32" s="10">
        <f>VLOOKUP(B32, Price_List!$A$3:$C$62, 2, FALSE)</f>
        <v>700</v>
      </c>
      <c r="I32" s="10">
        <f>VLOOKUP(B32, Price_List!$A$3:$C$62, 3, FALSE)</f>
        <v>700</v>
      </c>
      <c r="J32" s="10" t="str">
        <f t="shared" si="1"/>
        <v>Below Min(Bargain)</v>
      </c>
      <c r="K32" s="10">
        <f t="shared" si="2"/>
        <v>200</v>
      </c>
    </row>
    <row r="33" spans="1:11" ht="15.6" x14ac:dyDescent="0.3">
      <c r="A33" s="9">
        <v>45498</v>
      </c>
      <c r="B33" s="15" t="s">
        <v>19</v>
      </c>
      <c r="C33" s="13">
        <v>270</v>
      </c>
      <c r="D33" s="3" t="s">
        <v>8</v>
      </c>
      <c r="E33" s="3" t="s">
        <v>7</v>
      </c>
      <c r="F33" s="10" t="str">
        <f t="shared" si="3"/>
        <v>Jul-2024</v>
      </c>
      <c r="G33" t="str">
        <f t="shared" si="0"/>
        <v>2024-07</v>
      </c>
      <c r="H33" s="10">
        <f>VLOOKUP(B33, Price_List!$A$3:$C$62, 2, FALSE)</f>
        <v>300</v>
      </c>
      <c r="I33" s="10">
        <f>VLOOKUP(B33, Price_List!$A$3:$C$62, 3, FALSE)</f>
        <v>300</v>
      </c>
      <c r="J33" s="10" t="str">
        <f t="shared" si="1"/>
        <v>Below Min(Bargain)</v>
      </c>
      <c r="K33" s="10">
        <f t="shared" si="2"/>
        <v>30</v>
      </c>
    </row>
    <row r="34" spans="1:11" ht="15.6" x14ac:dyDescent="0.3">
      <c r="A34" s="9">
        <v>45499</v>
      </c>
      <c r="B34" s="3" t="s">
        <v>16</v>
      </c>
      <c r="C34" s="13">
        <v>450</v>
      </c>
      <c r="D34" s="3" t="s">
        <v>8</v>
      </c>
      <c r="E34" s="3" t="s">
        <v>7</v>
      </c>
      <c r="F34" s="10" t="str">
        <f t="shared" si="3"/>
        <v>Jul-2024</v>
      </c>
      <c r="G34" t="str">
        <f t="shared" si="0"/>
        <v>2024-07</v>
      </c>
      <c r="H34" s="10">
        <f>VLOOKUP(B34, Price_List!$A$3:$C$62, 2, FALSE)</f>
        <v>500</v>
      </c>
      <c r="I34" s="10">
        <f>VLOOKUP(B34, Price_List!$A$3:$C$62, 3, FALSE)</f>
        <v>500</v>
      </c>
      <c r="J34" s="10" t="str">
        <f t="shared" si="1"/>
        <v>Below Min(Bargain)</v>
      </c>
      <c r="K34" s="10">
        <f t="shared" si="2"/>
        <v>50</v>
      </c>
    </row>
    <row r="35" spans="1:11" ht="15.6" x14ac:dyDescent="0.3">
      <c r="A35" s="9">
        <v>45499</v>
      </c>
      <c r="B35" s="3" t="s">
        <v>5</v>
      </c>
      <c r="C35" s="13">
        <v>50</v>
      </c>
      <c r="D35" s="3" t="s">
        <v>8</v>
      </c>
      <c r="E35" s="3" t="s">
        <v>7</v>
      </c>
      <c r="F35" s="10" t="str">
        <f t="shared" si="3"/>
        <v>Jul-2024</v>
      </c>
      <c r="G35" t="str">
        <f t="shared" si="0"/>
        <v>2024-07</v>
      </c>
      <c r="H35" s="10">
        <f>VLOOKUP(B35, Price_List!$A$3:$C$62, 2, FALSE)</f>
        <v>60</v>
      </c>
      <c r="I35" s="10">
        <f>VLOOKUP(B35, Price_List!$A$3:$C$62, 3, FALSE)</f>
        <v>70</v>
      </c>
      <c r="J35" s="10" t="str">
        <f t="shared" si="1"/>
        <v>Below Min(Bargain)</v>
      </c>
      <c r="K35" s="10">
        <f t="shared" si="2"/>
        <v>10</v>
      </c>
    </row>
    <row r="36" spans="1:11" ht="15.6" x14ac:dyDescent="0.3">
      <c r="A36" s="9">
        <v>45502</v>
      </c>
      <c r="B36" s="3" t="s">
        <v>5</v>
      </c>
      <c r="C36" s="13">
        <v>50</v>
      </c>
      <c r="D36" s="3" t="s">
        <v>6</v>
      </c>
      <c r="E36" s="3" t="s">
        <v>7</v>
      </c>
      <c r="F36" s="10" t="str">
        <f t="shared" si="3"/>
        <v>Jul-2024</v>
      </c>
      <c r="G36" t="str">
        <f t="shared" si="0"/>
        <v>2024-07</v>
      </c>
      <c r="H36" s="10">
        <f>VLOOKUP(B36, Price_List!$A$3:$C$62, 2, FALSE)</f>
        <v>60</v>
      </c>
      <c r="I36" s="10">
        <f>VLOOKUP(B36, Price_List!$A$3:$C$62, 3, FALSE)</f>
        <v>70</v>
      </c>
      <c r="J36" s="10" t="str">
        <f t="shared" si="1"/>
        <v>Below Min(Bargain)</v>
      </c>
      <c r="K36" s="10">
        <f t="shared" si="2"/>
        <v>10</v>
      </c>
    </row>
    <row r="37" spans="1:11" ht="15.6" x14ac:dyDescent="0.3">
      <c r="A37" s="9">
        <v>45502</v>
      </c>
      <c r="B37" s="3" t="s">
        <v>5</v>
      </c>
      <c r="C37" s="13">
        <v>50</v>
      </c>
      <c r="D37" s="3" t="s">
        <v>8</v>
      </c>
      <c r="E37" s="3" t="s">
        <v>7</v>
      </c>
      <c r="F37" s="10" t="str">
        <f t="shared" si="3"/>
        <v>Jul-2024</v>
      </c>
      <c r="G37" t="str">
        <f t="shared" si="0"/>
        <v>2024-07</v>
      </c>
      <c r="H37" s="10">
        <f>VLOOKUP(B37, Price_List!$A$3:$C$62, 2, FALSE)</f>
        <v>60</v>
      </c>
      <c r="I37" s="10">
        <f>VLOOKUP(B37, Price_List!$A$3:$C$62, 3, FALSE)</f>
        <v>70</v>
      </c>
      <c r="J37" s="10" t="str">
        <f t="shared" si="1"/>
        <v>Below Min(Bargain)</v>
      </c>
      <c r="K37" s="10">
        <f t="shared" si="2"/>
        <v>10</v>
      </c>
    </row>
    <row r="38" spans="1:11" ht="15.6" x14ac:dyDescent="0.3">
      <c r="A38" s="9">
        <v>45502</v>
      </c>
      <c r="B38" s="15" t="s">
        <v>104</v>
      </c>
      <c r="C38" s="13">
        <v>500</v>
      </c>
      <c r="D38" s="3" t="s">
        <v>8</v>
      </c>
      <c r="E38" s="3" t="s">
        <v>7</v>
      </c>
      <c r="F38" s="10" t="str">
        <f t="shared" si="3"/>
        <v>Jul-2024</v>
      </c>
      <c r="G38" t="str">
        <f t="shared" si="0"/>
        <v>2024-07</v>
      </c>
      <c r="H38" s="10">
        <f>VLOOKUP(B38, Price_List!$A$3:$C$62, 2, FALSE)</f>
        <v>500</v>
      </c>
      <c r="I38" s="10">
        <f>VLOOKUP(B38, Price_List!$A$3:$C$62, 3, FALSE)</f>
        <v>500</v>
      </c>
      <c r="J38" s="10" t="str">
        <f t="shared" si="1"/>
        <v>Within Range</v>
      </c>
      <c r="K38" s="10">
        <f t="shared" si="2"/>
        <v>0</v>
      </c>
    </row>
    <row r="39" spans="1:11" ht="15.6" x14ac:dyDescent="0.3">
      <c r="A39" s="9">
        <v>45504</v>
      </c>
      <c r="B39" s="3" t="s">
        <v>5</v>
      </c>
      <c r="C39" s="13">
        <v>50</v>
      </c>
      <c r="D39" s="3" t="s">
        <v>8</v>
      </c>
      <c r="E39" s="3" t="s">
        <v>7</v>
      </c>
      <c r="F39" s="10" t="str">
        <f t="shared" si="3"/>
        <v>Jul-2024</v>
      </c>
      <c r="G39" t="str">
        <f t="shared" si="0"/>
        <v>2024-07</v>
      </c>
      <c r="H39" s="10">
        <f>VLOOKUP(B39, Price_List!$A$3:$C$62, 2, FALSE)</f>
        <v>60</v>
      </c>
      <c r="I39" s="10">
        <f>VLOOKUP(B39, Price_List!$A$3:$C$62, 3, FALSE)</f>
        <v>70</v>
      </c>
      <c r="J39" s="10" t="str">
        <f t="shared" si="1"/>
        <v>Below Min(Bargain)</v>
      </c>
      <c r="K39" s="10">
        <f t="shared" si="2"/>
        <v>10</v>
      </c>
    </row>
    <row r="40" spans="1:11" ht="15.6" x14ac:dyDescent="0.3">
      <c r="A40" s="9">
        <v>45504</v>
      </c>
      <c r="B40" s="3" t="s">
        <v>5</v>
      </c>
      <c r="C40" s="13">
        <v>50</v>
      </c>
      <c r="D40" s="3" t="s">
        <v>8</v>
      </c>
      <c r="E40" s="3" t="s">
        <v>7</v>
      </c>
      <c r="F40" s="10" t="str">
        <f t="shared" si="3"/>
        <v>Jul-2024</v>
      </c>
      <c r="G40" t="str">
        <f t="shared" si="0"/>
        <v>2024-07</v>
      </c>
      <c r="H40" s="10">
        <f>VLOOKUP(B40, Price_List!$A$3:$C$62, 2, FALSE)</f>
        <v>60</v>
      </c>
      <c r="I40" s="10">
        <f>VLOOKUP(B40, Price_List!$A$3:$C$62, 3, FALSE)</f>
        <v>70</v>
      </c>
      <c r="J40" s="10" t="str">
        <f t="shared" si="1"/>
        <v>Below Min(Bargain)</v>
      </c>
      <c r="K40" s="10">
        <f t="shared" si="2"/>
        <v>10</v>
      </c>
    </row>
    <row r="41" spans="1:11" ht="15.6" x14ac:dyDescent="0.3">
      <c r="A41" s="9">
        <v>45505</v>
      </c>
      <c r="B41" s="3" t="s">
        <v>20</v>
      </c>
      <c r="C41" s="13">
        <v>800</v>
      </c>
      <c r="D41" s="3" t="s">
        <v>8</v>
      </c>
      <c r="E41" s="3" t="s">
        <v>7</v>
      </c>
      <c r="F41" s="10" t="str">
        <f t="shared" si="3"/>
        <v>Aug-2024</v>
      </c>
      <c r="G41" t="str">
        <f t="shared" si="0"/>
        <v>2024-08</v>
      </c>
      <c r="H41" s="10">
        <f>VLOOKUP(B41, Price_List!$A$3:$C$62, 2, FALSE)</f>
        <v>1000</v>
      </c>
      <c r="I41" s="10">
        <f>VLOOKUP(B41, Price_List!$A$3:$C$62, 3, FALSE)</f>
        <v>1000</v>
      </c>
      <c r="J41" s="10" t="str">
        <f t="shared" si="1"/>
        <v>Below Min(Bargain)</v>
      </c>
      <c r="K41" s="10">
        <f t="shared" si="2"/>
        <v>200</v>
      </c>
    </row>
    <row r="42" spans="1:11" ht="15.6" x14ac:dyDescent="0.3">
      <c r="A42" s="9">
        <v>45506</v>
      </c>
      <c r="B42" s="3" t="s">
        <v>18</v>
      </c>
      <c r="C42" s="13">
        <v>400</v>
      </c>
      <c r="D42" s="3" t="s">
        <v>8</v>
      </c>
      <c r="E42" s="3" t="s">
        <v>7</v>
      </c>
      <c r="F42" s="10" t="str">
        <f t="shared" si="3"/>
        <v>Aug-2024</v>
      </c>
      <c r="G42" t="str">
        <f t="shared" si="0"/>
        <v>2024-08</v>
      </c>
      <c r="H42" s="10">
        <f>VLOOKUP(B42, Price_List!$A$3:$C$62, 2, FALSE)</f>
        <v>700</v>
      </c>
      <c r="I42" s="10">
        <f>VLOOKUP(B42, Price_List!$A$3:$C$62, 3, FALSE)</f>
        <v>700</v>
      </c>
      <c r="J42" s="10" t="str">
        <f t="shared" si="1"/>
        <v>Below Min(Bargain)</v>
      </c>
      <c r="K42" s="10">
        <f t="shared" si="2"/>
        <v>300</v>
      </c>
    </row>
    <row r="43" spans="1:11" ht="15.6" x14ac:dyDescent="0.3">
      <c r="A43" s="9">
        <v>45506</v>
      </c>
      <c r="B43" s="3" t="s">
        <v>5</v>
      </c>
      <c r="C43" s="13">
        <v>50</v>
      </c>
      <c r="D43" s="3" t="s">
        <v>8</v>
      </c>
      <c r="E43" s="3" t="s">
        <v>7</v>
      </c>
      <c r="F43" s="10" t="str">
        <f t="shared" si="3"/>
        <v>Aug-2024</v>
      </c>
      <c r="G43" t="str">
        <f t="shared" si="0"/>
        <v>2024-08</v>
      </c>
      <c r="H43" s="10">
        <f>VLOOKUP(B43, Price_List!$A$3:$C$62, 2, FALSE)</f>
        <v>60</v>
      </c>
      <c r="I43" s="10">
        <f>VLOOKUP(B43, Price_List!$A$3:$C$62, 3, FALSE)</f>
        <v>70</v>
      </c>
      <c r="J43" s="10" t="str">
        <f t="shared" si="1"/>
        <v>Below Min(Bargain)</v>
      </c>
      <c r="K43" s="10">
        <f t="shared" si="2"/>
        <v>10</v>
      </c>
    </row>
    <row r="44" spans="1:11" ht="15.6" x14ac:dyDescent="0.3">
      <c r="A44" s="9">
        <v>45506</v>
      </c>
      <c r="B44" s="3" t="s">
        <v>5</v>
      </c>
      <c r="C44" s="13">
        <v>50</v>
      </c>
      <c r="D44" s="3" t="s">
        <v>8</v>
      </c>
      <c r="E44" s="3" t="s">
        <v>7</v>
      </c>
      <c r="F44" s="10" t="str">
        <f t="shared" si="3"/>
        <v>Aug-2024</v>
      </c>
      <c r="G44" t="str">
        <f t="shared" si="0"/>
        <v>2024-08</v>
      </c>
      <c r="H44" s="10">
        <f>VLOOKUP(B44, Price_List!$A$3:$C$62, 2, FALSE)</f>
        <v>60</v>
      </c>
      <c r="I44" s="10">
        <f>VLOOKUP(B44, Price_List!$A$3:$C$62, 3, FALSE)</f>
        <v>70</v>
      </c>
      <c r="J44" s="10" t="str">
        <f t="shared" si="1"/>
        <v>Below Min(Bargain)</v>
      </c>
      <c r="K44" s="10">
        <f t="shared" si="2"/>
        <v>10</v>
      </c>
    </row>
    <row r="45" spans="1:11" ht="15.6" x14ac:dyDescent="0.3">
      <c r="A45" s="9">
        <v>45507</v>
      </c>
      <c r="B45" s="3" t="s">
        <v>18</v>
      </c>
      <c r="C45" s="13">
        <v>400</v>
      </c>
      <c r="D45" s="3" t="s">
        <v>8</v>
      </c>
      <c r="E45" s="3" t="s">
        <v>7</v>
      </c>
      <c r="F45" s="10" t="str">
        <f t="shared" si="3"/>
        <v>Aug-2024</v>
      </c>
      <c r="G45" t="str">
        <f t="shared" si="0"/>
        <v>2024-08</v>
      </c>
      <c r="H45" s="10">
        <f>VLOOKUP(B45, Price_List!$A$3:$C$62, 2, FALSE)</f>
        <v>700</v>
      </c>
      <c r="I45" s="10">
        <f>VLOOKUP(B45, Price_List!$A$3:$C$62, 3, FALSE)</f>
        <v>700</v>
      </c>
      <c r="J45" s="10" t="str">
        <f t="shared" si="1"/>
        <v>Below Min(Bargain)</v>
      </c>
      <c r="K45" s="10">
        <f t="shared" si="2"/>
        <v>300</v>
      </c>
    </row>
    <row r="46" spans="1:11" ht="15.6" x14ac:dyDescent="0.3">
      <c r="A46" s="9">
        <v>45507</v>
      </c>
      <c r="B46" s="3" t="s">
        <v>5</v>
      </c>
      <c r="C46" s="13">
        <v>50</v>
      </c>
      <c r="D46" s="3" t="s">
        <v>8</v>
      </c>
      <c r="E46" s="3" t="s">
        <v>7</v>
      </c>
      <c r="F46" s="10" t="str">
        <f t="shared" si="3"/>
        <v>Aug-2024</v>
      </c>
      <c r="G46" t="str">
        <f t="shared" si="0"/>
        <v>2024-08</v>
      </c>
      <c r="H46" s="10">
        <f>VLOOKUP(B46, Price_List!$A$3:$C$62, 2, FALSE)</f>
        <v>60</v>
      </c>
      <c r="I46" s="10">
        <f>VLOOKUP(B46, Price_List!$A$3:$C$62, 3, FALSE)</f>
        <v>70</v>
      </c>
      <c r="J46" s="10" t="str">
        <f t="shared" si="1"/>
        <v>Below Min(Bargain)</v>
      </c>
      <c r="K46" s="10">
        <f t="shared" si="2"/>
        <v>10</v>
      </c>
    </row>
    <row r="47" spans="1:11" ht="15.6" x14ac:dyDescent="0.3">
      <c r="A47" s="9">
        <v>45507</v>
      </c>
      <c r="B47" s="3" t="s">
        <v>5</v>
      </c>
      <c r="C47" s="13">
        <v>50</v>
      </c>
      <c r="D47" s="3" t="s">
        <v>8</v>
      </c>
      <c r="E47" s="3" t="s">
        <v>7</v>
      </c>
      <c r="F47" s="10" t="str">
        <f t="shared" si="3"/>
        <v>Aug-2024</v>
      </c>
      <c r="G47" t="str">
        <f t="shared" si="0"/>
        <v>2024-08</v>
      </c>
      <c r="H47" s="10">
        <f>VLOOKUP(B47, Price_List!$A$3:$C$62, 2, FALSE)</f>
        <v>60</v>
      </c>
      <c r="I47" s="10">
        <f>VLOOKUP(B47, Price_List!$A$3:$C$62, 3, FALSE)</f>
        <v>70</v>
      </c>
      <c r="J47" s="10" t="str">
        <f t="shared" si="1"/>
        <v>Below Min(Bargain)</v>
      </c>
      <c r="K47" s="10">
        <f t="shared" si="2"/>
        <v>10</v>
      </c>
    </row>
    <row r="48" spans="1:11" ht="15.6" x14ac:dyDescent="0.3">
      <c r="A48" s="9">
        <v>45509</v>
      </c>
      <c r="B48" s="15" t="s">
        <v>106</v>
      </c>
      <c r="C48" s="13">
        <v>300</v>
      </c>
      <c r="D48" s="3" t="s">
        <v>8</v>
      </c>
      <c r="E48" s="3" t="s">
        <v>7</v>
      </c>
      <c r="F48" s="10" t="str">
        <f t="shared" si="3"/>
        <v>Aug-2024</v>
      </c>
      <c r="G48" t="str">
        <f t="shared" si="0"/>
        <v>2024-08</v>
      </c>
      <c r="H48" s="10">
        <f>VLOOKUP(B48, Price_List!$A$3:$C$62, 2, FALSE)</f>
        <v>300</v>
      </c>
      <c r="I48" s="10">
        <f>VLOOKUP(B48, Price_List!$A$3:$C$62, 3, FALSE)</f>
        <v>300</v>
      </c>
      <c r="J48" s="10" t="str">
        <f t="shared" si="1"/>
        <v>Within Range</v>
      </c>
      <c r="K48" s="10">
        <f t="shared" si="2"/>
        <v>0</v>
      </c>
    </row>
    <row r="49" spans="1:11" ht="15.6" x14ac:dyDescent="0.3">
      <c r="A49" s="9">
        <v>45509</v>
      </c>
      <c r="B49" s="3" t="s">
        <v>22</v>
      </c>
      <c r="C49" s="13">
        <v>250</v>
      </c>
      <c r="D49" s="3" t="s">
        <v>8</v>
      </c>
      <c r="E49" s="3" t="s">
        <v>7</v>
      </c>
      <c r="F49" s="10" t="str">
        <f t="shared" si="3"/>
        <v>Aug-2024</v>
      </c>
      <c r="G49" t="str">
        <f t="shared" si="0"/>
        <v>2024-08</v>
      </c>
      <c r="H49" s="10">
        <f>VLOOKUP(B49, Price_List!$A$3:$C$62, 2, FALSE)</f>
        <v>250</v>
      </c>
      <c r="I49" s="10">
        <f>VLOOKUP(B49, Price_List!$A$3:$C$62, 3, FALSE)</f>
        <v>250</v>
      </c>
      <c r="J49" s="10" t="str">
        <f t="shared" si="1"/>
        <v>Within Range</v>
      </c>
      <c r="K49" s="10">
        <f t="shared" si="2"/>
        <v>0</v>
      </c>
    </row>
    <row r="50" spans="1:11" ht="15.6" x14ac:dyDescent="0.3">
      <c r="A50" s="9">
        <v>45513</v>
      </c>
      <c r="B50" s="3" t="s">
        <v>18</v>
      </c>
      <c r="C50" s="13">
        <v>700</v>
      </c>
      <c r="D50" s="3" t="s">
        <v>8</v>
      </c>
      <c r="E50" s="3" t="s">
        <v>7</v>
      </c>
      <c r="F50" s="10" t="str">
        <f t="shared" si="3"/>
        <v>Aug-2024</v>
      </c>
      <c r="G50" t="str">
        <f t="shared" si="0"/>
        <v>2024-08</v>
      </c>
      <c r="H50" s="10">
        <f>VLOOKUP(B50, Price_List!$A$3:$C$62, 2, FALSE)</f>
        <v>700</v>
      </c>
      <c r="I50" s="10">
        <f>VLOOKUP(B50, Price_List!$A$3:$C$62, 3, FALSE)</f>
        <v>700</v>
      </c>
      <c r="J50" s="10" t="str">
        <f t="shared" si="1"/>
        <v>Within Range</v>
      </c>
      <c r="K50" s="10">
        <f t="shared" si="2"/>
        <v>0</v>
      </c>
    </row>
    <row r="51" spans="1:11" ht="15.6" x14ac:dyDescent="0.3">
      <c r="A51" s="9">
        <v>45513</v>
      </c>
      <c r="B51" s="15" t="s">
        <v>107</v>
      </c>
      <c r="C51" s="13">
        <v>250</v>
      </c>
      <c r="D51" s="3" t="s">
        <v>6</v>
      </c>
      <c r="E51" s="3" t="s">
        <v>7</v>
      </c>
      <c r="F51" s="10" t="str">
        <f t="shared" si="3"/>
        <v>Aug-2024</v>
      </c>
      <c r="G51" t="str">
        <f t="shared" si="0"/>
        <v>2024-08</v>
      </c>
      <c r="H51" s="10">
        <f>VLOOKUP(B51, Price_List!$A$3:$C$62, 2, FALSE)</f>
        <v>3500</v>
      </c>
      <c r="I51" s="10">
        <f>VLOOKUP(B51, Price_List!$A$3:$C$62, 3, FALSE)</f>
        <v>3500</v>
      </c>
      <c r="J51" s="10" t="str">
        <f t="shared" si="1"/>
        <v>Below Min(Bargain)</v>
      </c>
      <c r="K51" s="10">
        <f t="shared" si="2"/>
        <v>3250</v>
      </c>
    </row>
    <row r="52" spans="1:11" ht="15.6" x14ac:dyDescent="0.3">
      <c r="A52" s="9">
        <v>45513</v>
      </c>
      <c r="B52" s="3" t="s">
        <v>5</v>
      </c>
      <c r="C52" s="13">
        <v>70</v>
      </c>
      <c r="D52" s="3" t="s">
        <v>8</v>
      </c>
      <c r="E52" s="3" t="s">
        <v>7</v>
      </c>
      <c r="F52" s="10" t="str">
        <f t="shared" si="3"/>
        <v>Aug-2024</v>
      </c>
      <c r="G52" t="str">
        <f t="shared" si="0"/>
        <v>2024-08</v>
      </c>
      <c r="H52" s="10">
        <f>VLOOKUP(B52, Price_List!$A$3:$C$62, 2, FALSE)</f>
        <v>60</v>
      </c>
      <c r="I52" s="10">
        <f>VLOOKUP(B52, Price_List!$A$3:$C$62, 3, FALSE)</f>
        <v>70</v>
      </c>
      <c r="J52" s="10" t="str">
        <f t="shared" si="1"/>
        <v>Within Range</v>
      </c>
      <c r="K52" s="10">
        <f t="shared" si="2"/>
        <v>0</v>
      </c>
    </row>
    <row r="53" spans="1:11" ht="15.6" x14ac:dyDescent="0.3">
      <c r="A53" s="9">
        <v>45514</v>
      </c>
      <c r="B53" s="3" t="s">
        <v>5</v>
      </c>
      <c r="C53" s="13">
        <v>70</v>
      </c>
      <c r="D53" s="3" t="s">
        <v>8</v>
      </c>
      <c r="E53" s="3" t="s">
        <v>7</v>
      </c>
      <c r="F53" s="10" t="str">
        <f t="shared" si="3"/>
        <v>Aug-2024</v>
      </c>
      <c r="G53" t="str">
        <f t="shared" si="0"/>
        <v>2024-08</v>
      </c>
      <c r="H53" s="10">
        <f>VLOOKUP(B53, Price_List!$A$3:$C$62, 2, FALSE)</f>
        <v>60</v>
      </c>
      <c r="I53" s="10">
        <f>VLOOKUP(B53, Price_List!$A$3:$C$62, 3, FALSE)</f>
        <v>70</v>
      </c>
      <c r="J53" s="10" t="str">
        <f t="shared" si="1"/>
        <v>Within Range</v>
      </c>
      <c r="K53" s="10">
        <f t="shared" si="2"/>
        <v>0</v>
      </c>
    </row>
    <row r="54" spans="1:11" ht="15.6" x14ac:dyDescent="0.3">
      <c r="A54" s="9">
        <v>45514</v>
      </c>
      <c r="B54" s="3" t="s">
        <v>5</v>
      </c>
      <c r="C54" s="13">
        <v>100</v>
      </c>
      <c r="D54" s="3" t="s">
        <v>6</v>
      </c>
      <c r="E54" s="3" t="s">
        <v>7</v>
      </c>
      <c r="F54" s="10" t="str">
        <f t="shared" si="3"/>
        <v>Aug-2024</v>
      </c>
      <c r="G54" t="str">
        <f t="shared" si="0"/>
        <v>2024-08</v>
      </c>
      <c r="H54" s="10">
        <f>VLOOKUP(B54, Price_List!$A$3:$C$62, 2, FALSE)</f>
        <v>60</v>
      </c>
      <c r="I54" s="10">
        <f>VLOOKUP(B54, Price_List!$A$3:$C$62, 3, FALSE)</f>
        <v>70</v>
      </c>
      <c r="J54" s="10" t="str">
        <f t="shared" si="1"/>
        <v>Above Max</v>
      </c>
      <c r="K54" s="10">
        <f t="shared" si="2"/>
        <v>0</v>
      </c>
    </row>
    <row r="55" spans="1:11" ht="15.6" x14ac:dyDescent="0.3">
      <c r="A55" s="9">
        <v>45516</v>
      </c>
      <c r="B55" s="3" t="s">
        <v>20</v>
      </c>
      <c r="C55" s="13">
        <v>800</v>
      </c>
      <c r="D55" s="3" t="s">
        <v>8</v>
      </c>
      <c r="E55" s="3" t="s">
        <v>7</v>
      </c>
      <c r="F55" s="10" t="str">
        <f t="shared" si="3"/>
        <v>Aug-2024</v>
      </c>
      <c r="G55" t="str">
        <f t="shared" si="0"/>
        <v>2024-08</v>
      </c>
      <c r="H55" s="10">
        <f>VLOOKUP(B55, Price_List!$A$3:$C$62, 2, FALSE)</f>
        <v>1000</v>
      </c>
      <c r="I55" s="10">
        <f>VLOOKUP(B55, Price_List!$A$3:$C$62, 3, FALSE)</f>
        <v>1000</v>
      </c>
      <c r="J55" s="10" t="str">
        <f t="shared" si="1"/>
        <v>Below Min(Bargain)</v>
      </c>
      <c r="K55" s="10">
        <f t="shared" si="2"/>
        <v>200</v>
      </c>
    </row>
    <row r="56" spans="1:11" ht="15.6" x14ac:dyDescent="0.3">
      <c r="A56" s="9">
        <v>45516</v>
      </c>
      <c r="B56" s="3" t="s">
        <v>5</v>
      </c>
      <c r="C56" s="13">
        <v>60</v>
      </c>
      <c r="D56" s="3" t="s">
        <v>6</v>
      </c>
      <c r="E56" s="3" t="s">
        <v>7</v>
      </c>
      <c r="F56" s="10" t="str">
        <f t="shared" si="3"/>
        <v>Aug-2024</v>
      </c>
      <c r="G56" t="str">
        <f t="shared" si="0"/>
        <v>2024-08</v>
      </c>
      <c r="H56" s="10">
        <f>VLOOKUP(B56, Price_List!$A$3:$C$62, 2, FALSE)</f>
        <v>60</v>
      </c>
      <c r="I56" s="10">
        <f>VLOOKUP(B56, Price_List!$A$3:$C$62, 3, FALSE)</f>
        <v>70</v>
      </c>
      <c r="J56" s="10" t="str">
        <f t="shared" si="1"/>
        <v>Within Range</v>
      </c>
      <c r="K56" s="10">
        <f t="shared" si="2"/>
        <v>0</v>
      </c>
    </row>
    <row r="57" spans="1:11" ht="15.6" x14ac:dyDescent="0.3">
      <c r="A57" s="9">
        <v>45517</v>
      </c>
      <c r="B57" s="3" t="s">
        <v>5</v>
      </c>
      <c r="C57" s="13">
        <v>40</v>
      </c>
      <c r="D57" s="3" t="s">
        <v>8</v>
      </c>
      <c r="E57" s="3" t="s">
        <v>7</v>
      </c>
      <c r="F57" s="10" t="str">
        <f t="shared" si="3"/>
        <v>Aug-2024</v>
      </c>
      <c r="G57" t="str">
        <f t="shared" si="0"/>
        <v>2024-08</v>
      </c>
      <c r="H57" s="10">
        <f>VLOOKUP(B57, Price_List!$A$3:$C$62, 2, FALSE)</f>
        <v>60</v>
      </c>
      <c r="I57" s="10">
        <f>VLOOKUP(B57, Price_List!$A$3:$C$62, 3, FALSE)</f>
        <v>70</v>
      </c>
      <c r="J57" s="10" t="str">
        <f t="shared" si="1"/>
        <v>Below Min(Bargain)</v>
      </c>
      <c r="K57" s="10">
        <f t="shared" si="2"/>
        <v>20</v>
      </c>
    </row>
    <row r="58" spans="1:11" ht="15.6" x14ac:dyDescent="0.3">
      <c r="A58" s="9">
        <v>45517</v>
      </c>
      <c r="B58" s="3" t="s">
        <v>5</v>
      </c>
      <c r="C58" s="13">
        <v>50</v>
      </c>
      <c r="D58" s="3" t="s">
        <v>8</v>
      </c>
      <c r="E58" s="3" t="s">
        <v>7</v>
      </c>
      <c r="F58" s="10" t="str">
        <f t="shared" si="3"/>
        <v>Aug-2024</v>
      </c>
      <c r="G58" t="str">
        <f t="shared" si="0"/>
        <v>2024-08</v>
      </c>
      <c r="H58" s="10">
        <f>VLOOKUP(B58, Price_List!$A$3:$C$62, 2, FALSE)</f>
        <v>60</v>
      </c>
      <c r="I58" s="10">
        <f>VLOOKUP(B58, Price_List!$A$3:$C$62, 3, FALSE)</f>
        <v>70</v>
      </c>
      <c r="J58" s="10" t="str">
        <f t="shared" si="1"/>
        <v>Below Min(Bargain)</v>
      </c>
      <c r="K58" s="10">
        <f t="shared" si="2"/>
        <v>10</v>
      </c>
    </row>
    <row r="59" spans="1:11" ht="15.6" x14ac:dyDescent="0.3">
      <c r="A59" s="9">
        <v>45519</v>
      </c>
      <c r="B59" s="15" t="s">
        <v>108</v>
      </c>
      <c r="C59" s="13">
        <v>2000</v>
      </c>
      <c r="D59" s="3" t="s">
        <v>6</v>
      </c>
      <c r="E59" s="3" t="s">
        <v>7</v>
      </c>
      <c r="F59" s="10" t="str">
        <f t="shared" si="3"/>
        <v>Aug-2024</v>
      </c>
      <c r="G59" t="str">
        <f t="shared" si="0"/>
        <v>2024-08</v>
      </c>
      <c r="H59" s="10">
        <f>VLOOKUP(B59, Price_List!$A$3:$C$62, 2, FALSE)</f>
        <v>1000</v>
      </c>
      <c r="I59" s="10">
        <f>VLOOKUP(B59, Price_List!$A$3:$C$62, 3, FALSE)</f>
        <v>2000</v>
      </c>
      <c r="J59" s="10" t="str">
        <f t="shared" si="1"/>
        <v>Within Range</v>
      </c>
      <c r="K59" s="10">
        <f t="shared" si="2"/>
        <v>0</v>
      </c>
    </row>
    <row r="60" spans="1:11" ht="15.6" x14ac:dyDescent="0.3">
      <c r="A60" s="9">
        <v>45520</v>
      </c>
      <c r="B60" s="3" t="s">
        <v>14</v>
      </c>
      <c r="C60" s="13">
        <v>700</v>
      </c>
      <c r="D60" s="3" t="s">
        <v>6</v>
      </c>
      <c r="E60" s="3" t="s">
        <v>7</v>
      </c>
      <c r="F60" s="10" t="str">
        <f t="shared" si="3"/>
        <v>Aug-2024</v>
      </c>
      <c r="G60" t="str">
        <f t="shared" si="0"/>
        <v>2024-08</v>
      </c>
      <c r="H60" s="10">
        <f>VLOOKUP(B60, Price_List!$A$3:$C$62, 2, FALSE)</f>
        <v>800</v>
      </c>
      <c r="I60" s="10">
        <f>VLOOKUP(B60, Price_List!$A$3:$C$62, 3, FALSE)</f>
        <v>1000</v>
      </c>
      <c r="J60" s="10" t="str">
        <f t="shared" si="1"/>
        <v>Below Min(Bargain)</v>
      </c>
      <c r="K60" s="10">
        <f t="shared" si="2"/>
        <v>100</v>
      </c>
    </row>
    <row r="61" spans="1:11" ht="15.6" x14ac:dyDescent="0.3">
      <c r="A61" s="9">
        <v>45520</v>
      </c>
      <c r="B61" s="15" t="s">
        <v>104</v>
      </c>
      <c r="C61" s="13">
        <v>450</v>
      </c>
      <c r="D61" s="3" t="s">
        <v>8</v>
      </c>
      <c r="E61" s="3" t="s">
        <v>7</v>
      </c>
      <c r="F61" s="10" t="str">
        <f t="shared" si="3"/>
        <v>Aug-2024</v>
      </c>
      <c r="G61" t="str">
        <f t="shared" si="0"/>
        <v>2024-08</v>
      </c>
      <c r="H61" s="10">
        <f>VLOOKUP(B61, Price_List!$A$3:$C$62, 2, FALSE)</f>
        <v>500</v>
      </c>
      <c r="I61" s="10">
        <f>VLOOKUP(B61, Price_List!$A$3:$C$62, 3, FALSE)</f>
        <v>500</v>
      </c>
      <c r="J61" s="10" t="str">
        <f t="shared" si="1"/>
        <v>Below Min(Bargain)</v>
      </c>
      <c r="K61" s="10">
        <f t="shared" si="2"/>
        <v>50</v>
      </c>
    </row>
    <row r="62" spans="1:11" ht="15.6" x14ac:dyDescent="0.3">
      <c r="A62" s="9">
        <v>45520</v>
      </c>
      <c r="B62" s="3" t="s">
        <v>13</v>
      </c>
      <c r="C62" s="13">
        <v>350</v>
      </c>
      <c r="D62" s="3" t="s">
        <v>8</v>
      </c>
      <c r="E62" s="3" t="s">
        <v>7</v>
      </c>
      <c r="F62" s="10" t="str">
        <f t="shared" si="3"/>
        <v>Aug-2024</v>
      </c>
      <c r="G62" t="str">
        <f t="shared" si="0"/>
        <v>2024-08</v>
      </c>
      <c r="H62" s="10">
        <f>VLOOKUP(B62, Price_List!$A$3:$C$62, 2, FALSE)</f>
        <v>350</v>
      </c>
      <c r="I62" s="10">
        <f>VLOOKUP(B62, Price_List!$A$3:$C$62, 3, FALSE)</f>
        <v>350</v>
      </c>
      <c r="J62" s="10" t="str">
        <f t="shared" si="1"/>
        <v>Within Range</v>
      </c>
      <c r="K62" s="10">
        <f t="shared" si="2"/>
        <v>0</v>
      </c>
    </row>
    <row r="63" spans="1:11" ht="15.6" x14ac:dyDescent="0.3">
      <c r="A63" s="9">
        <v>45520</v>
      </c>
      <c r="B63" s="3" t="s">
        <v>18</v>
      </c>
      <c r="C63" s="13">
        <v>500</v>
      </c>
      <c r="D63" s="3" t="s">
        <v>8</v>
      </c>
      <c r="E63" s="3" t="s">
        <v>7</v>
      </c>
      <c r="F63" s="10" t="str">
        <f t="shared" si="3"/>
        <v>Aug-2024</v>
      </c>
      <c r="G63" t="str">
        <f t="shared" si="0"/>
        <v>2024-08</v>
      </c>
      <c r="H63" s="10">
        <f>VLOOKUP(B63, Price_List!$A$3:$C$62, 2, FALSE)</f>
        <v>700</v>
      </c>
      <c r="I63" s="10">
        <f>VLOOKUP(B63, Price_List!$A$3:$C$62, 3, FALSE)</f>
        <v>700</v>
      </c>
      <c r="J63" s="10" t="str">
        <f t="shared" si="1"/>
        <v>Below Min(Bargain)</v>
      </c>
      <c r="K63" s="10">
        <f t="shared" si="2"/>
        <v>200</v>
      </c>
    </row>
    <row r="64" spans="1:11" ht="15.6" x14ac:dyDescent="0.3">
      <c r="A64" s="9">
        <v>45521</v>
      </c>
      <c r="B64" s="15" t="s">
        <v>109</v>
      </c>
      <c r="C64" s="13">
        <v>600</v>
      </c>
      <c r="D64" s="3" t="s">
        <v>8</v>
      </c>
      <c r="E64" s="3" t="s">
        <v>7</v>
      </c>
      <c r="F64" s="10" t="str">
        <f t="shared" si="3"/>
        <v>Aug-2024</v>
      </c>
      <c r="G64" t="str">
        <f t="shared" si="0"/>
        <v>2024-08</v>
      </c>
      <c r="H64" s="10">
        <f>VLOOKUP(B64, Price_List!$A$3:$C$62, 2, FALSE)</f>
        <v>600</v>
      </c>
      <c r="I64" s="10">
        <f>VLOOKUP(B64, Price_List!$A$3:$C$62, 3, FALSE)</f>
        <v>600</v>
      </c>
      <c r="J64" s="10" t="str">
        <f t="shared" si="1"/>
        <v>Within Range</v>
      </c>
      <c r="K64" s="10">
        <f t="shared" si="2"/>
        <v>0</v>
      </c>
    </row>
    <row r="65" spans="1:11" ht="15.6" x14ac:dyDescent="0.3">
      <c r="A65" s="9">
        <v>45521</v>
      </c>
      <c r="B65" s="3" t="s">
        <v>5</v>
      </c>
      <c r="C65" s="13">
        <v>50</v>
      </c>
      <c r="D65" s="3" t="s">
        <v>8</v>
      </c>
      <c r="E65" s="3" t="s">
        <v>7</v>
      </c>
      <c r="F65" s="10" t="str">
        <f t="shared" si="3"/>
        <v>Aug-2024</v>
      </c>
      <c r="G65" t="str">
        <f t="shared" si="0"/>
        <v>2024-08</v>
      </c>
      <c r="H65" s="10">
        <f>VLOOKUP(B65, Price_List!$A$3:$C$62, 2, FALSE)</f>
        <v>60</v>
      </c>
      <c r="I65" s="10">
        <f>VLOOKUP(B65, Price_List!$A$3:$C$62, 3, FALSE)</f>
        <v>70</v>
      </c>
      <c r="J65" s="10" t="str">
        <f t="shared" si="1"/>
        <v>Below Min(Bargain)</v>
      </c>
      <c r="K65" s="10">
        <f t="shared" si="2"/>
        <v>10</v>
      </c>
    </row>
    <row r="66" spans="1:11" ht="15.6" x14ac:dyDescent="0.3">
      <c r="A66" s="9">
        <v>45521</v>
      </c>
      <c r="B66" s="15" t="s">
        <v>104</v>
      </c>
      <c r="C66" s="13">
        <v>450</v>
      </c>
      <c r="D66" s="3" t="s">
        <v>8</v>
      </c>
      <c r="E66" s="3" t="s">
        <v>7</v>
      </c>
      <c r="F66" s="10" t="str">
        <f t="shared" si="3"/>
        <v>Aug-2024</v>
      </c>
      <c r="G66" t="str">
        <f t="shared" si="0"/>
        <v>2024-08</v>
      </c>
      <c r="H66" s="10">
        <f>VLOOKUP(B66, Price_List!$A$3:$C$62, 2, FALSE)</f>
        <v>500</v>
      </c>
      <c r="I66" s="10">
        <f>VLOOKUP(B66, Price_List!$A$3:$C$62, 3, FALSE)</f>
        <v>500</v>
      </c>
      <c r="J66" s="10" t="str">
        <f t="shared" si="1"/>
        <v>Below Min(Bargain)</v>
      </c>
      <c r="K66" s="10">
        <f t="shared" si="2"/>
        <v>50</v>
      </c>
    </row>
    <row r="67" spans="1:11" ht="15.6" x14ac:dyDescent="0.3">
      <c r="A67" s="9">
        <v>45523</v>
      </c>
      <c r="B67" s="15" t="s">
        <v>110</v>
      </c>
      <c r="C67" s="13">
        <v>900</v>
      </c>
      <c r="D67" s="3" t="s">
        <v>6</v>
      </c>
      <c r="E67" s="3" t="s">
        <v>7</v>
      </c>
      <c r="F67" s="10" t="str">
        <f t="shared" si="3"/>
        <v>Aug-2024</v>
      </c>
      <c r="G67" t="str">
        <f t="shared" ref="G67:G130" si="4">TEXT(A67,"yyyy-mm")</f>
        <v>2024-08</v>
      </c>
      <c r="H67" s="10">
        <f>VLOOKUP(B67, Price_List!$A$3:$C$62, 2, FALSE)</f>
        <v>900</v>
      </c>
      <c r="I67" s="10">
        <f>VLOOKUP(B67, Price_List!$A$3:$C$62, 3, FALSE)</f>
        <v>900</v>
      </c>
      <c r="J67" s="10" t="str">
        <f t="shared" ref="J67:J130" si="5">IF(C67 &lt; H67, "Below Min(Bargain)", IF(C67 &gt; I67, "Above Max", "Within Range"))</f>
        <v>Within Range</v>
      </c>
      <c r="K67" s="10">
        <f t="shared" ref="K67:K130" si="6">IF(C67 &lt; H67, H67 - C67, 0)</f>
        <v>0</v>
      </c>
    </row>
    <row r="68" spans="1:11" ht="15.6" x14ac:dyDescent="0.3">
      <c r="A68" s="9">
        <v>45523</v>
      </c>
      <c r="B68" s="3" t="s">
        <v>5</v>
      </c>
      <c r="C68" s="13">
        <v>70</v>
      </c>
      <c r="D68" s="3" t="s">
        <v>6</v>
      </c>
      <c r="E68" s="3" t="s">
        <v>7</v>
      </c>
      <c r="F68" s="10" t="str">
        <f t="shared" ref="F68:F131" si="7">TEXT(A68, "mmm-yyyy")</f>
        <v>Aug-2024</v>
      </c>
      <c r="G68" t="str">
        <f t="shared" si="4"/>
        <v>2024-08</v>
      </c>
      <c r="H68" s="10">
        <f>VLOOKUP(B68, Price_List!$A$3:$C$62, 2, FALSE)</f>
        <v>60</v>
      </c>
      <c r="I68" s="10">
        <f>VLOOKUP(B68, Price_List!$A$3:$C$62, 3, FALSE)</f>
        <v>70</v>
      </c>
      <c r="J68" s="10" t="str">
        <f t="shared" si="5"/>
        <v>Within Range</v>
      </c>
      <c r="K68" s="10">
        <f t="shared" si="6"/>
        <v>0</v>
      </c>
    </row>
    <row r="69" spans="1:11" ht="15.6" x14ac:dyDescent="0.3">
      <c r="A69" s="9">
        <v>45523</v>
      </c>
      <c r="B69" s="3" t="s">
        <v>5</v>
      </c>
      <c r="C69" s="13">
        <v>50</v>
      </c>
      <c r="D69" s="3" t="s">
        <v>8</v>
      </c>
      <c r="E69" s="3" t="s">
        <v>7</v>
      </c>
      <c r="F69" s="10" t="str">
        <f t="shared" si="7"/>
        <v>Aug-2024</v>
      </c>
      <c r="G69" t="str">
        <f t="shared" si="4"/>
        <v>2024-08</v>
      </c>
      <c r="H69" s="10">
        <f>VLOOKUP(B69, Price_List!$A$3:$C$62, 2, FALSE)</f>
        <v>60</v>
      </c>
      <c r="I69" s="10">
        <f>VLOOKUP(B69, Price_List!$A$3:$C$62, 3, FALSE)</f>
        <v>70</v>
      </c>
      <c r="J69" s="10" t="str">
        <f t="shared" si="5"/>
        <v>Below Min(Bargain)</v>
      </c>
      <c r="K69" s="10">
        <f t="shared" si="6"/>
        <v>10</v>
      </c>
    </row>
    <row r="70" spans="1:11" ht="15.6" x14ac:dyDescent="0.3">
      <c r="A70" s="9">
        <v>45524</v>
      </c>
      <c r="B70" s="3" t="s">
        <v>5</v>
      </c>
      <c r="C70" s="13">
        <v>50</v>
      </c>
      <c r="D70" s="3" t="s">
        <v>8</v>
      </c>
      <c r="E70" s="3" t="s">
        <v>7</v>
      </c>
      <c r="F70" s="10" t="str">
        <f t="shared" si="7"/>
        <v>Aug-2024</v>
      </c>
      <c r="G70" t="str">
        <f t="shared" si="4"/>
        <v>2024-08</v>
      </c>
      <c r="H70" s="10">
        <f>VLOOKUP(B70, Price_List!$A$3:$C$62, 2, FALSE)</f>
        <v>60</v>
      </c>
      <c r="I70" s="10">
        <f>VLOOKUP(B70, Price_List!$A$3:$C$62, 3, FALSE)</f>
        <v>70</v>
      </c>
      <c r="J70" s="10" t="str">
        <f t="shared" si="5"/>
        <v>Below Min(Bargain)</v>
      </c>
      <c r="K70" s="10">
        <f t="shared" si="6"/>
        <v>10</v>
      </c>
    </row>
    <row r="71" spans="1:11" ht="15.6" x14ac:dyDescent="0.3">
      <c r="A71" s="9">
        <v>45524</v>
      </c>
      <c r="B71" s="3" t="s">
        <v>5</v>
      </c>
      <c r="C71" s="13">
        <v>50</v>
      </c>
      <c r="D71" s="3" t="s">
        <v>8</v>
      </c>
      <c r="E71" s="3" t="s">
        <v>7</v>
      </c>
      <c r="F71" s="10" t="str">
        <f t="shared" si="7"/>
        <v>Aug-2024</v>
      </c>
      <c r="G71" t="str">
        <f t="shared" si="4"/>
        <v>2024-08</v>
      </c>
      <c r="H71" s="10">
        <f>VLOOKUP(B71, Price_List!$A$3:$C$62, 2, FALSE)</f>
        <v>60</v>
      </c>
      <c r="I71" s="10">
        <f>VLOOKUP(B71, Price_List!$A$3:$C$62, 3, FALSE)</f>
        <v>70</v>
      </c>
      <c r="J71" s="10" t="str">
        <f t="shared" si="5"/>
        <v>Below Min(Bargain)</v>
      </c>
      <c r="K71" s="10">
        <f t="shared" si="6"/>
        <v>10</v>
      </c>
    </row>
    <row r="72" spans="1:11" ht="15.6" x14ac:dyDescent="0.3">
      <c r="A72" s="9">
        <v>45524</v>
      </c>
      <c r="B72" s="3" t="s">
        <v>5</v>
      </c>
      <c r="C72" s="13">
        <v>50</v>
      </c>
      <c r="D72" s="3" t="s">
        <v>8</v>
      </c>
      <c r="E72" s="3" t="s">
        <v>7</v>
      </c>
      <c r="F72" s="10" t="str">
        <f t="shared" si="7"/>
        <v>Aug-2024</v>
      </c>
      <c r="G72" t="str">
        <f t="shared" si="4"/>
        <v>2024-08</v>
      </c>
      <c r="H72" s="10">
        <f>VLOOKUP(B72, Price_List!$A$3:$C$62, 2, FALSE)</f>
        <v>60</v>
      </c>
      <c r="I72" s="10">
        <f>VLOOKUP(B72, Price_List!$A$3:$C$62, 3, FALSE)</f>
        <v>70</v>
      </c>
      <c r="J72" s="10" t="str">
        <f t="shared" si="5"/>
        <v>Below Min(Bargain)</v>
      </c>
      <c r="K72" s="10">
        <f t="shared" si="6"/>
        <v>10</v>
      </c>
    </row>
    <row r="73" spans="1:11" ht="15.6" x14ac:dyDescent="0.3">
      <c r="A73" s="9">
        <v>45525</v>
      </c>
      <c r="B73" s="15" t="s">
        <v>19</v>
      </c>
      <c r="C73" s="13">
        <v>300</v>
      </c>
      <c r="D73" s="3" t="s">
        <v>8</v>
      </c>
      <c r="E73" s="3" t="s">
        <v>7</v>
      </c>
      <c r="F73" s="10" t="str">
        <f t="shared" si="7"/>
        <v>Aug-2024</v>
      </c>
      <c r="G73" t="str">
        <f t="shared" si="4"/>
        <v>2024-08</v>
      </c>
      <c r="H73" s="10">
        <f>VLOOKUP(B73, Price_List!$A$3:$C$62, 2, FALSE)</f>
        <v>300</v>
      </c>
      <c r="I73" s="10">
        <f>VLOOKUP(B73, Price_List!$A$3:$C$62, 3, FALSE)</f>
        <v>300</v>
      </c>
      <c r="J73" s="10" t="str">
        <f t="shared" si="5"/>
        <v>Within Range</v>
      </c>
      <c r="K73" s="10">
        <f t="shared" si="6"/>
        <v>0</v>
      </c>
    </row>
    <row r="74" spans="1:11" ht="15.6" x14ac:dyDescent="0.3">
      <c r="A74" s="9">
        <v>45525</v>
      </c>
      <c r="B74" s="3" t="s">
        <v>16</v>
      </c>
      <c r="C74" s="13">
        <v>500</v>
      </c>
      <c r="D74" s="3" t="s">
        <v>8</v>
      </c>
      <c r="E74" s="3" t="s">
        <v>7</v>
      </c>
      <c r="F74" s="10" t="str">
        <f t="shared" si="7"/>
        <v>Aug-2024</v>
      </c>
      <c r="G74" t="str">
        <f t="shared" si="4"/>
        <v>2024-08</v>
      </c>
      <c r="H74" s="10">
        <f>VLOOKUP(B74, Price_List!$A$3:$C$62, 2, FALSE)</f>
        <v>500</v>
      </c>
      <c r="I74" s="10">
        <f>VLOOKUP(B74, Price_List!$A$3:$C$62, 3, FALSE)</f>
        <v>500</v>
      </c>
      <c r="J74" s="10" t="str">
        <f t="shared" si="5"/>
        <v>Within Range</v>
      </c>
      <c r="K74" s="10">
        <f t="shared" si="6"/>
        <v>0</v>
      </c>
    </row>
    <row r="75" spans="1:11" ht="15.6" x14ac:dyDescent="0.3">
      <c r="A75" s="9">
        <v>45525</v>
      </c>
      <c r="B75" s="3" t="s">
        <v>5</v>
      </c>
      <c r="C75" s="13">
        <v>50</v>
      </c>
      <c r="D75" s="3" t="s">
        <v>6</v>
      </c>
      <c r="E75" s="3" t="s">
        <v>7</v>
      </c>
      <c r="F75" s="10" t="str">
        <f t="shared" si="7"/>
        <v>Aug-2024</v>
      </c>
      <c r="G75" t="str">
        <f t="shared" si="4"/>
        <v>2024-08</v>
      </c>
      <c r="H75" s="10">
        <f>VLOOKUP(B75, Price_List!$A$3:$C$62, 2, FALSE)</f>
        <v>60</v>
      </c>
      <c r="I75" s="10">
        <f>VLOOKUP(B75, Price_List!$A$3:$C$62, 3, FALSE)</f>
        <v>70</v>
      </c>
      <c r="J75" s="10" t="str">
        <f t="shared" si="5"/>
        <v>Below Min(Bargain)</v>
      </c>
      <c r="K75" s="10">
        <f t="shared" si="6"/>
        <v>10</v>
      </c>
    </row>
    <row r="76" spans="1:11" ht="15.6" x14ac:dyDescent="0.3">
      <c r="A76" s="9">
        <v>45525</v>
      </c>
      <c r="B76" s="3" t="s">
        <v>5</v>
      </c>
      <c r="C76" s="13">
        <v>50</v>
      </c>
      <c r="D76" s="3" t="s">
        <v>6</v>
      </c>
      <c r="E76" s="3" t="s">
        <v>7</v>
      </c>
      <c r="F76" s="10" t="str">
        <f t="shared" si="7"/>
        <v>Aug-2024</v>
      </c>
      <c r="G76" t="str">
        <f t="shared" si="4"/>
        <v>2024-08</v>
      </c>
      <c r="H76" s="10">
        <f>VLOOKUP(B76, Price_List!$A$3:$C$62, 2, FALSE)</f>
        <v>60</v>
      </c>
      <c r="I76" s="10">
        <f>VLOOKUP(B76, Price_List!$A$3:$C$62, 3, FALSE)</f>
        <v>70</v>
      </c>
      <c r="J76" s="10" t="str">
        <f t="shared" si="5"/>
        <v>Below Min(Bargain)</v>
      </c>
      <c r="K76" s="10">
        <f t="shared" si="6"/>
        <v>10</v>
      </c>
    </row>
    <row r="77" spans="1:11" ht="15.6" x14ac:dyDescent="0.3">
      <c r="A77" s="9">
        <v>45526</v>
      </c>
      <c r="B77" s="3" t="s">
        <v>14</v>
      </c>
      <c r="C77" s="13">
        <v>900</v>
      </c>
      <c r="D77" s="3" t="s">
        <v>8</v>
      </c>
      <c r="E77" s="3" t="s">
        <v>7</v>
      </c>
      <c r="F77" s="10" t="str">
        <f t="shared" si="7"/>
        <v>Aug-2024</v>
      </c>
      <c r="G77" t="str">
        <f t="shared" si="4"/>
        <v>2024-08</v>
      </c>
      <c r="H77" s="10">
        <f>VLOOKUP(B77, Price_List!$A$3:$C$62, 2, FALSE)</f>
        <v>800</v>
      </c>
      <c r="I77" s="10">
        <f>VLOOKUP(B77, Price_List!$A$3:$C$62, 3, FALSE)</f>
        <v>1000</v>
      </c>
      <c r="J77" s="10" t="str">
        <f t="shared" si="5"/>
        <v>Within Range</v>
      </c>
      <c r="K77" s="10">
        <f t="shared" si="6"/>
        <v>0</v>
      </c>
    </row>
    <row r="78" spans="1:11" ht="15.6" x14ac:dyDescent="0.3">
      <c r="A78" s="9">
        <v>45526</v>
      </c>
      <c r="B78" s="3" t="s">
        <v>14</v>
      </c>
      <c r="C78" s="13">
        <v>800</v>
      </c>
      <c r="D78" s="3" t="s">
        <v>8</v>
      </c>
      <c r="E78" s="3" t="s">
        <v>7</v>
      </c>
      <c r="F78" s="10" t="str">
        <f t="shared" si="7"/>
        <v>Aug-2024</v>
      </c>
      <c r="G78" t="str">
        <f t="shared" si="4"/>
        <v>2024-08</v>
      </c>
      <c r="H78" s="10">
        <f>VLOOKUP(B78, Price_List!$A$3:$C$62, 2, FALSE)</f>
        <v>800</v>
      </c>
      <c r="I78" s="10">
        <f>VLOOKUP(B78, Price_List!$A$3:$C$62, 3, FALSE)</f>
        <v>1000</v>
      </c>
      <c r="J78" s="10" t="str">
        <f t="shared" si="5"/>
        <v>Within Range</v>
      </c>
      <c r="K78" s="10">
        <f t="shared" si="6"/>
        <v>0</v>
      </c>
    </row>
    <row r="79" spans="1:11" ht="15.6" x14ac:dyDescent="0.3">
      <c r="A79" s="9">
        <v>45527</v>
      </c>
      <c r="B79" s="3" t="s">
        <v>5</v>
      </c>
      <c r="C79" s="13">
        <v>50</v>
      </c>
      <c r="D79" s="3" t="s">
        <v>8</v>
      </c>
      <c r="E79" s="3" t="s">
        <v>7</v>
      </c>
      <c r="F79" s="10" t="str">
        <f t="shared" si="7"/>
        <v>Aug-2024</v>
      </c>
      <c r="G79" t="str">
        <f t="shared" si="4"/>
        <v>2024-08</v>
      </c>
      <c r="H79" s="10">
        <f>VLOOKUP(B79, Price_List!$A$3:$C$62, 2, FALSE)</f>
        <v>60</v>
      </c>
      <c r="I79" s="10">
        <f>VLOOKUP(B79, Price_List!$A$3:$C$62, 3, FALSE)</f>
        <v>70</v>
      </c>
      <c r="J79" s="10" t="str">
        <f t="shared" si="5"/>
        <v>Below Min(Bargain)</v>
      </c>
      <c r="K79" s="10">
        <f t="shared" si="6"/>
        <v>10</v>
      </c>
    </row>
    <row r="80" spans="1:11" ht="15.6" x14ac:dyDescent="0.3">
      <c r="A80" s="9">
        <v>45527</v>
      </c>
      <c r="B80" s="3" t="s">
        <v>5</v>
      </c>
      <c r="C80" s="13">
        <v>80</v>
      </c>
      <c r="D80" s="3" t="s">
        <v>8</v>
      </c>
      <c r="E80" s="3" t="s">
        <v>7</v>
      </c>
      <c r="F80" s="10" t="str">
        <f t="shared" si="7"/>
        <v>Aug-2024</v>
      </c>
      <c r="G80" t="str">
        <f t="shared" si="4"/>
        <v>2024-08</v>
      </c>
      <c r="H80" s="10">
        <f>VLOOKUP(B80, Price_List!$A$3:$C$62, 2, FALSE)</f>
        <v>60</v>
      </c>
      <c r="I80" s="10">
        <f>VLOOKUP(B80, Price_List!$A$3:$C$62, 3, FALSE)</f>
        <v>70</v>
      </c>
      <c r="J80" s="10" t="str">
        <f t="shared" si="5"/>
        <v>Above Max</v>
      </c>
      <c r="K80" s="10">
        <f t="shared" si="6"/>
        <v>0</v>
      </c>
    </row>
    <row r="81" spans="1:11" ht="15.6" x14ac:dyDescent="0.3">
      <c r="A81" s="9">
        <v>45527</v>
      </c>
      <c r="B81" s="3" t="s">
        <v>5</v>
      </c>
      <c r="C81" s="13">
        <v>50</v>
      </c>
      <c r="D81" s="3" t="s">
        <v>8</v>
      </c>
      <c r="E81" s="3" t="s">
        <v>7</v>
      </c>
      <c r="F81" s="10" t="str">
        <f t="shared" si="7"/>
        <v>Aug-2024</v>
      </c>
      <c r="G81" t="str">
        <f t="shared" si="4"/>
        <v>2024-08</v>
      </c>
      <c r="H81" s="10">
        <f>VLOOKUP(B81, Price_List!$A$3:$C$62, 2, FALSE)</f>
        <v>60</v>
      </c>
      <c r="I81" s="10">
        <f>VLOOKUP(B81, Price_List!$A$3:$C$62, 3, FALSE)</f>
        <v>70</v>
      </c>
      <c r="J81" s="10" t="str">
        <f t="shared" si="5"/>
        <v>Below Min(Bargain)</v>
      </c>
      <c r="K81" s="10">
        <f t="shared" si="6"/>
        <v>10</v>
      </c>
    </row>
    <row r="82" spans="1:11" ht="15.6" x14ac:dyDescent="0.3">
      <c r="A82" s="9">
        <v>45527</v>
      </c>
      <c r="B82" s="3" t="s">
        <v>5</v>
      </c>
      <c r="C82" s="13">
        <v>70</v>
      </c>
      <c r="D82" s="3" t="s">
        <v>8</v>
      </c>
      <c r="E82" s="3" t="s">
        <v>7</v>
      </c>
      <c r="F82" s="10" t="str">
        <f t="shared" si="7"/>
        <v>Aug-2024</v>
      </c>
      <c r="G82" t="str">
        <f t="shared" si="4"/>
        <v>2024-08</v>
      </c>
      <c r="H82" s="10">
        <f>VLOOKUP(B82, Price_List!$A$3:$C$62, 2, FALSE)</f>
        <v>60</v>
      </c>
      <c r="I82" s="10">
        <f>VLOOKUP(B82, Price_List!$A$3:$C$62, 3, FALSE)</f>
        <v>70</v>
      </c>
      <c r="J82" s="10" t="str">
        <f t="shared" si="5"/>
        <v>Within Range</v>
      </c>
      <c r="K82" s="10">
        <f t="shared" si="6"/>
        <v>0</v>
      </c>
    </row>
    <row r="83" spans="1:11" ht="15.6" x14ac:dyDescent="0.3">
      <c r="A83" s="9">
        <v>45527</v>
      </c>
      <c r="B83" s="15" t="s">
        <v>110</v>
      </c>
      <c r="C83" s="13">
        <v>900</v>
      </c>
      <c r="D83" s="3" t="s">
        <v>8</v>
      </c>
      <c r="E83" s="3" t="s">
        <v>7</v>
      </c>
      <c r="F83" s="10" t="str">
        <f t="shared" si="7"/>
        <v>Aug-2024</v>
      </c>
      <c r="G83" t="str">
        <f t="shared" si="4"/>
        <v>2024-08</v>
      </c>
      <c r="H83" s="10">
        <f>VLOOKUP(B83, Price_List!$A$3:$C$62, 2, FALSE)</f>
        <v>900</v>
      </c>
      <c r="I83" s="10">
        <f>VLOOKUP(B83, Price_List!$A$3:$C$62, 3, FALSE)</f>
        <v>900</v>
      </c>
      <c r="J83" s="10" t="str">
        <f t="shared" si="5"/>
        <v>Within Range</v>
      </c>
      <c r="K83" s="10">
        <f t="shared" si="6"/>
        <v>0</v>
      </c>
    </row>
    <row r="84" spans="1:11" ht="15.6" x14ac:dyDescent="0.3">
      <c r="A84" s="9">
        <v>45528</v>
      </c>
      <c r="B84" s="3" t="s">
        <v>5</v>
      </c>
      <c r="C84" s="13">
        <v>50</v>
      </c>
      <c r="D84" s="3" t="s">
        <v>8</v>
      </c>
      <c r="E84" s="3" t="s">
        <v>7</v>
      </c>
      <c r="F84" s="10" t="str">
        <f t="shared" si="7"/>
        <v>Aug-2024</v>
      </c>
      <c r="G84" t="str">
        <f t="shared" si="4"/>
        <v>2024-08</v>
      </c>
      <c r="H84" s="10">
        <f>VLOOKUP(B84, Price_List!$A$3:$C$62, 2, FALSE)</f>
        <v>60</v>
      </c>
      <c r="I84" s="10">
        <f>VLOOKUP(B84, Price_List!$A$3:$C$62, 3, FALSE)</f>
        <v>70</v>
      </c>
      <c r="J84" s="10" t="str">
        <f t="shared" si="5"/>
        <v>Below Min(Bargain)</v>
      </c>
      <c r="K84" s="10">
        <f t="shared" si="6"/>
        <v>10</v>
      </c>
    </row>
    <row r="85" spans="1:11" ht="15.6" x14ac:dyDescent="0.3">
      <c r="A85" s="9">
        <v>45530</v>
      </c>
      <c r="B85" s="3" t="s">
        <v>18</v>
      </c>
      <c r="C85" s="13">
        <v>700</v>
      </c>
      <c r="D85" s="3" t="s">
        <v>8</v>
      </c>
      <c r="E85" s="3" t="s">
        <v>7</v>
      </c>
      <c r="F85" s="10" t="str">
        <f t="shared" si="7"/>
        <v>Aug-2024</v>
      </c>
      <c r="G85" t="str">
        <f t="shared" si="4"/>
        <v>2024-08</v>
      </c>
      <c r="H85" s="10">
        <f>VLOOKUP(B85, Price_List!$A$3:$C$62, 2, FALSE)</f>
        <v>700</v>
      </c>
      <c r="I85" s="10">
        <f>VLOOKUP(B85, Price_List!$A$3:$C$62, 3, FALSE)</f>
        <v>700</v>
      </c>
      <c r="J85" s="10" t="str">
        <f t="shared" si="5"/>
        <v>Within Range</v>
      </c>
      <c r="K85" s="10">
        <f t="shared" si="6"/>
        <v>0</v>
      </c>
    </row>
    <row r="86" spans="1:11" ht="15.6" x14ac:dyDescent="0.3">
      <c r="A86" s="9">
        <v>45530</v>
      </c>
      <c r="B86" s="3" t="s">
        <v>18</v>
      </c>
      <c r="C86" s="13">
        <v>700</v>
      </c>
      <c r="D86" s="3" t="s">
        <v>8</v>
      </c>
      <c r="E86" s="3" t="s">
        <v>7</v>
      </c>
      <c r="F86" s="10" t="str">
        <f t="shared" si="7"/>
        <v>Aug-2024</v>
      </c>
      <c r="G86" t="str">
        <f t="shared" si="4"/>
        <v>2024-08</v>
      </c>
      <c r="H86" s="10">
        <f>VLOOKUP(B86, Price_List!$A$3:$C$62, 2, FALSE)</f>
        <v>700</v>
      </c>
      <c r="I86" s="10">
        <f>VLOOKUP(B86, Price_List!$A$3:$C$62, 3, FALSE)</f>
        <v>700</v>
      </c>
      <c r="J86" s="10" t="str">
        <f t="shared" si="5"/>
        <v>Within Range</v>
      </c>
      <c r="K86" s="10">
        <f t="shared" si="6"/>
        <v>0</v>
      </c>
    </row>
    <row r="87" spans="1:11" ht="15.6" x14ac:dyDescent="0.3">
      <c r="A87" s="9">
        <v>45530</v>
      </c>
      <c r="B87" s="3" t="s">
        <v>29</v>
      </c>
      <c r="C87" s="13">
        <v>500</v>
      </c>
      <c r="D87" s="3" t="s">
        <v>8</v>
      </c>
      <c r="E87" s="3" t="s">
        <v>7</v>
      </c>
      <c r="F87" s="10" t="str">
        <f t="shared" si="7"/>
        <v>Aug-2024</v>
      </c>
      <c r="G87" t="str">
        <f t="shared" si="4"/>
        <v>2024-08</v>
      </c>
      <c r="H87" s="10">
        <f>VLOOKUP(B87, Price_List!$A$3:$C$62, 2, FALSE)</f>
        <v>400</v>
      </c>
      <c r="I87" s="10">
        <f>VLOOKUP(B87, Price_List!$A$3:$C$62, 3, FALSE)</f>
        <v>400</v>
      </c>
      <c r="J87" s="10" t="str">
        <f t="shared" si="5"/>
        <v>Above Max</v>
      </c>
      <c r="K87" s="10">
        <f t="shared" si="6"/>
        <v>0</v>
      </c>
    </row>
    <row r="88" spans="1:11" ht="15.6" x14ac:dyDescent="0.3">
      <c r="A88" s="9">
        <v>45531</v>
      </c>
      <c r="B88" s="15" t="s">
        <v>104</v>
      </c>
      <c r="C88" s="13">
        <v>500</v>
      </c>
      <c r="D88" s="3" t="s">
        <v>8</v>
      </c>
      <c r="E88" s="3" t="s">
        <v>7</v>
      </c>
      <c r="F88" s="10" t="str">
        <f t="shared" si="7"/>
        <v>Aug-2024</v>
      </c>
      <c r="G88" t="str">
        <f t="shared" si="4"/>
        <v>2024-08</v>
      </c>
      <c r="H88" s="10">
        <f>VLOOKUP(B88, Price_List!$A$3:$C$62, 2, FALSE)</f>
        <v>500</v>
      </c>
      <c r="I88" s="10">
        <f>VLOOKUP(B88, Price_List!$A$3:$C$62, 3, FALSE)</f>
        <v>500</v>
      </c>
      <c r="J88" s="10" t="str">
        <f t="shared" si="5"/>
        <v>Within Range</v>
      </c>
      <c r="K88" s="10">
        <f t="shared" si="6"/>
        <v>0</v>
      </c>
    </row>
    <row r="89" spans="1:11" ht="15.6" x14ac:dyDescent="0.3">
      <c r="A89" s="9">
        <v>45531</v>
      </c>
      <c r="B89" s="3" t="s">
        <v>5</v>
      </c>
      <c r="C89" s="13">
        <v>50</v>
      </c>
      <c r="D89" s="3" t="s">
        <v>8</v>
      </c>
      <c r="E89" s="3" t="s">
        <v>7</v>
      </c>
      <c r="F89" s="10" t="str">
        <f t="shared" si="7"/>
        <v>Aug-2024</v>
      </c>
      <c r="G89" t="str">
        <f t="shared" si="4"/>
        <v>2024-08</v>
      </c>
      <c r="H89" s="10">
        <f>VLOOKUP(B89, Price_List!$A$3:$C$62, 2, FALSE)</f>
        <v>60</v>
      </c>
      <c r="I89" s="10">
        <f>VLOOKUP(B89, Price_List!$A$3:$C$62, 3, FALSE)</f>
        <v>70</v>
      </c>
      <c r="J89" s="10" t="str">
        <f t="shared" si="5"/>
        <v>Below Min(Bargain)</v>
      </c>
      <c r="K89" s="10">
        <f t="shared" si="6"/>
        <v>10</v>
      </c>
    </row>
    <row r="90" spans="1:11" ht="15.6" x14ac:dyDescent="0.3">
      <c r="A90" s="9">
        <v>45532</v>
      </c>
      <c r="B90" s="3" t="s">
        <v>5</v>
      </c>
      <c r="C90" s="13">
        <v>50</v>
      </c>
      <c r="D90" s="3" t="s">
        <v>8</v>
      </c>
      <c r="E90" s="3" t="s">
        <v>7</v>
      </c>
      <c r="F90" s="10" t="str">
        <f t="shared" si="7"/>
        <v>Aug-2024</v>
      </c>
      <c r="G90" t="str">
        <f t="shared" si="4"/>
        <v>2024-08</v>
      </c>
      <c r="H90" s="10">
        <f>VLOOKUP(B90, Price_List!$A$3:$C$62, 2, FALSE)</f>
        <v>60</v>
      </c>
      <c r="I90" s="10">
        <f>VLOOKUP(B90, Price_List!$A$3:$C$62, 3, FALSE)</f>
        <v>70</v>
      </c>
      <c r="J90" s="10" t="str">
        <f t="shared" si="5"/>
        <v>Below Min(Bargain)</v>
      </c>
      <c r="K90" s="10">
        <f t="shared" si="6"/>
        <v>10</v>
      </c>
    </row>
    <row r="91" spans="1:11" ht="15.6" x14ac:dyDescent="0.3">
      <c r="A91" s="9">
        <v>45532</v>
      </c>
      <c r="B91" s="3" t="s">
        <v>5</v>
      </c>
      <c r="C91" s="13">
        <v>50</v>
      </c>
      <c r="D91" s="3" t="s">
        <v>8</v>
      </c>
      <c r="E91" s="3" t="s">
        <v>7</v>
      </c>
      <c r="F91" s="10" t="str">
        <f t="shared" si="7"/>
        <v>Aug-2024</v>
      </c>
      <c r="G91" t="str">
        <f t="shared" si="4"/>
        <v>2024-08</v>
      </c>
      <c r="H91" s="10">
        <f>VLOOKUP(B91, Price_List!$A$3:$C$62, 2, FALSE)</f>
        <v>60</v>
      </c>
      <c r="I91" s="10">
        <f>VLOOKUP(B91, Price_List!$A$3:$C$62, 3, FALSE)</f>
        <v>70</v>
      </c>
      <c r="J91" s="10" t="str">
        <f t="shared" si="5"/>
        <v>Below Min(Bargain)</v>
      </c>
      <c r="K91" s="10">
        <f t="shared" si="6"/>
        <v>10</v>
      </c>
    </row>
    <row r="92" spans="1:11" ht="15.6" x14ac:dyDescent="0.3">
      <c r="A92" s="9">
        <v>45532</v>
      </c>
      <c r="B92" s="3" t="s">
        <v>5</v>
      </c>
      <c r="C92" s="13">
        <v>50</v>
      </c>
      <c r="D92" s="3" t="s">
        <v>8</v>
      </c>
      <c r="E92" s="3" t="s">
        <v>7</v>
      </c>
      <c r="F92" s="10" t="str">
        <f t="shared" si="7"/>
        <v>Aug-2024</v>
      </c>
      <c r="G92" t="str">
        <f t="shared" si="4"/>
        <v>2024-08</v>
      </c>
      <c r="H92" s="10">
        <f>VLOOKUP(B92, Price_List!$A$3:$C$62, 2, FALSE)</f>
        <v>60</v>
      </c>
      <c r="I92" s="10">
        <f>VLOOKUP(B92, Price_List!$A$3:$C$62, 3, FALSE)</f>
        <v>70</v>
      </c>
      <c r="J92" s="10" t="str">
        <f t="shared" si="5"/>
        <v>Below Min(Bargain)</v>
      </c>
      <c r="K92" s="10">
        <f t="shared" si="6"/>
        <v>10</v>
      </c>
    </row>
    <row r="93" spans="1:11" ht="15.6" x14ac:dyDescent="0.3">
      <c r="A93" s="9">
        <v>45533</v>
      </c>
      <c r="B93" s="3" t="s">
        <v>5</v>
      </c>
      <c r="C93" s="13">
        <v>50</v>
      </c>
      <c r="D93" s="3" t="s">
        <v>8</v>
      </c>
      <c r="E93" s="3" t="s">
        <v>7</v>
      </c>
      <c r="F93" s="10" t="str">
        <f t="shared" si="7"/>
        <v>Aug-2024</v>
      </c>
      <c r="G93" t="str">
        <f t="shared" si="4"/>
        <v>2024-08</v>
      </c>
      <c r="H93" s="10">
        <f>VLOOKUP(B93, Price_List!$A$3:$C$62, 2, FALSE)</f>
        <v>60</v>
      </c>
      <c r="I93" s="10">
        <f>VLOOKUP(B93, Price_List!$A$3:$C$62, 3, FALSE)</f>
        <v>70</v>
      </c>
      <c r="J93" s="10" t="str">
        <f t="shared" si="5"/>
        <v>Below Min(Bargain)</v>
      </c>
      <c r="K93" s="10">
        <f t="shared" si="6"/>
        <v>10</v>
      </c>
    </row>
    <row r="94" spans="1:11" ht="15.6" x14ac:dyDescent="0.3">
      <c r="A94" s="9">
        <v>45533</v>
      </c>
      <c r="B94" s="3" t="s">
        <v>5</v>
      </c>
      <c r="C94" s="13">
        <v>60</v>
      </c>
      <c r="D94" s="3" t="s">
        <v>8</v>
      </c>
      <c r="E94" s="3" t="s">
        <v>7</v>
      </c>
      <c r="F94" s="10" t="str">
        <f t="shared" si="7"/>
        <v>Aug-2024</v>
      </c>
      <c r="G94" t="str">
        <f t="shared" si="4"/>
        <v>2024-08</v>
      </c>
      <c r="H94" s="10">
        <f>VLOOKUP(B94, Price_List!$A$3:$C$62, 2, FALSE)</f>
        <v>60</v>
      </c>
      <c r="I94" s="10">
        <f>VLOOKUP(B94, Price_List!$A$3:$C$62, 3, FALSE)</f>
        <v>70</v>
      </c>
      <c r="J94" s="10" t="str">
        <f t="shared" si="5"/>
        <v>Within Range</v>
      </c>
      <c r="K94" s="10">
        <f t="shared" si="6"/>
        <v>0</v>
      </c>
    </row>
    <row r="95" spans="1:11" ht="15.6" x14ac:dyDescent="0.3">
      <c r="A95" s="9">
        <v>45533</v>
      </c>
      <c r="B95" s="3" t="s">
        <v>5</v>
      </c>
      <c r="C95" s="13">
        <v>80</v>
      </c>
      <c r="D95" s="3" t="s">
        <v>8</v>
      </c>
      <c r="E95" s="3" t="s">
        <v>7</v>
      </c>
      <c r="F95" s="10" t="str">
        <f t="shared" si="7"/>
        <v>Aug-2024</v>
      </c>
      <c r="G95" t="str">
        <f t="shared" si="4"/>
        <v>2024-08</v>
      </c>
      <c r="H95" s="10">
        <f>VLOOKUP(B95, Price_List!$A$3:$C$62, 2, FALSE)</f>
        <v>60</v>
      </c>
      <c r="I95" s="10">
        <f>VLOOKUP(B95, Price_List!$A$3:$C$62, 3, FALSE)</f>
        <v>70</v>
      </c>
      <c r="J95" s="10" t="str">
        <f t="shared" si="5"/>
        <v>Above Max</v>
      </c>
      <c r="K95" s="10">
        <f t="shared" si="6"/>
        <v>0</v>
      </c>
    </row>
    <row r="96" spans="1:11" ht="15.6" x14ac:dyDescent="0.3">
      <c r="A96" s="9">
        <v>45533</v>
      </c>
      <c r="B96" s="3" t="s">
        <v>5</v>
      </c>
      <c r="C96" s="13">
        <v>70</v>
      </c>
      <c r="D96" s="3" t="s">
        <v>8</v>
      </c>
      <c r="E96" s="3" t="s">
        <v>7</v>
      </c>
      <c r="F96" s="10" t="str">
        <f t="shared" si="7"/>
        <v>Aug-2024</v>
      </c>
      <c r="G96" t="str">
        <f t="shared" si="4"/>
        <v>2024-08</v>
      </c>
      <c r="H96" s="10">
        <f>VLOOKUP(B96, Price_List!$A$3:$C$62, 2, FALSE)</f>
        <v>60</v>
      </c>
      <c r="I96" s="10">
        <f>VLOOKUP(B96, Price_List!$A$3:$C$62, 3, FALSE)</f>
        <v>70</v>
      </c>
      <c r="J96" s="10" t="str">
        <f t="shared" si="5"/>
        <v>Within Range</v>
      </c>
      <c r="K96" s="10">
        <f t="shared" si="6"/>
        <v>0</v>
      </c>
    </row>
    <row r="97" spans="1:11" ht="15.6" x14ac:dyDescent="0.3">
      <c r="A97" s="9">
        <v>45533</v>
      </c>
      <c r="B97" s="3" t="s">
        <v>5</v>
      </c>
      <c r="C97" s="13">
        <v>60</v>
      </c>
      <c r="D97" s="3" t="s">
        <v>8</v>
      </c>
      <c r="E97" s="3" t="s">
        <v>7</v>
      </c>
      <c r="F97" s="10" t="str">
        <f t="shared" si="7"/>
        <v>Aug-2024</v>
      </c>
      <c r="G97" t="str">
        <f t="shared" si="4"/>
        <v>2024-08</v>
      </c>
      <c r="H97" s="10">
        <f>VLOOKUP(B97, Price_List!$A$3:$C$62, 2, FALSE)</f>
        <v>60</v>
      </c>
      <c r="I97" s="10">
        <f>VLOOKUP(B97, Price_List!$A$3:$C$62, 3, FALSE)</f>
        <v>70</v>
      </c>
      <c r="J97" s="10" t="str">
        <f t="shared" si="5"/>
        <v>Within Range</v>
      </c>
      <c r="K97" s="10">
        <f t="shared" si="6"/>
        <v>0</v>
      </c>
    </row>
    <row r="98" spans="1:11" ht="15.6" x14ac:dyDescent="0.3">
      <c r="A98" s="9">
        <v>45534</v>
      </c>
      <c r="B98" s="3" t="s">
        <v>5</v>
      </c>
      <c r="C98" s="13">
        <v>60</v>
      </c>
      <c r="D98" s="3" t="s">
        <v>6</v>
      </c>
      <c r="E98" s="3" t="s">
        <v>7</v>
      </c>
      <c r="F98" s="10" t="str">
        <f t="shared" si="7"/>
        <v>Aug-2024</v>
      </c>
      <c r="G98" t="str">
        <f t="shared" si="4"/>
        <v>2024-08</v>
      </c>
      <c r="H98" s="10">
        <f>VLOOKUP(B98, Price_List!$A$3:$C$62, 2, FALSE)</f>
        <v>60</v>
      </c>
      <c r="I98" s="10">
        <f>VLOOKUP(B98, Price_List!$A$3:$C$62, 3, FALSE)</f>
        <v>70</v>
      </c>
      <c r="J98" s="10" t="str">
        <f t="shared" si="5"/>
        <v>Within Range</v>
      </c>
      <c r="K98" s="10">
        <f t="shared" si="6"/>
        <v>0</v>
      </c>
    </row>
    <row r="99" spans="1:11" ht="15.6" x14ac:dyDescent="0.3">
      <c r="A99" s="9">
        <v>45534</v>
      </c>
      <c r="B99" s="3" t="s">
        <v>5</v>
      </c>
      <c r="C99" s="13">
        <v>70</v>
      </c>
      <c r="D99" s="3" t="s">
        <v>6</v>
      </c>
      <c r="E99" s="3" t="s">
        <v>7</v>
      </c>
      <c r="F99" s="10" t="str">
        <f t="shared" si="7"/>
        <v>Aug-2024</v>
      </c>
      <c r="G99" t="str">
        <f t="shared" si="4"/>
        <v>2024-08</v>
      </c>
      <c r="H99" s="10">
        <f>VLOOKUP(B99, Price_List!$A$3:$C$62, 2, FALSE)</f>
        <v>60</v>
      </c>
      <c r="I99" s="10">
        <f>VLOOKUP(B99, Price_List!$A$3:$C$62, 3, FALSE)</f>
        <v>70</v>
      </c>
      <c r="J99" s="10" t="str">
        <f t="shared" si="5"/>
        <v>Within Range</v>
      </c>
      <c r="K99" s="10">
        <f t="shared" si="6"/>
        <v>0</v>
      </c>
    </row>
    <row r="100" spans="1:11" ht="15.6" x14ac:dyDescent="0.3">
      <c r="A100" s="9">
        <v>45537</v>
      </c>
      <c r="B100" s="3" t="s">
        <v>5</v>
      </c>
      <c r="C100" s="13">
        <v>70</v>
      </c>
      <c r="D100" s="3" t="s">
        <v>8</v>
      </c>
      <c r="E100" s="3" t="s">
        <v>7</v>
      </c>
      <c r="F100" s="10" t="str">
        <f t="shared" si="7"/>
        <v>Sep-2024</v>
      </c>
      <c r="G100" t="str">
        <f t="shared" si="4"/>
        <v>2024-09</v>
      </c>
      <c r="H100" s="10">
        <f>VLOOKUP(B100, Price_List!$A$3:$C$62, 2, FALSE)</f>
        <v>60</v>
      </c>
      <c r="I100" s="10">
        <f>VLOOKUP(B100, Price_List!$A$3:$C$62, 3, FALSE)</f>
        <v>70</v>
      </c>
      <c r="J100" s="10" t="str">
        <f t="shared" si="5"/>
        <v>Within Range</v>
      </c>
      <c r="K100" s="10">
        <f t="shared" si="6"/>
        <v>0</v>
      </c>
    </row>
    <row r="101" spans="1:11" ht="15.6" x14ac:dyDescent="0.3">
      <c r="A101" s="9">
        <v>45538</v>
      </c>
      <c r="B101" s="3" t="s">
        <v>14</v>
      </c>
      <c r="C101" s="13">
        <v>700</v>
      </c>
      <c r="D101" s="3" t="s">
        <v>8</v>
      </c>
      <c r="E101" s="3" t="s">
        <v>7</v>
      </c>
      <c r="F101" s="10" t="str">
        <f t="shared" si="7"/>
        <v>Sep-2024</v>
      </c>
      <c r="G101" t="str">
        <f t="shared" si="4"/>
        <v>2024-09</v>
      </c>
      <c r="H101" s="10">
        <f>VLOOKUP(B101, Price_List!$A$3:$C$62, 2, FALSE)</f>
        <v>800</v>
      </c>
      <c r="I101" s="10">
        <f>VLOOKUP(B101, Price_List!$A$3:$C$62, 3, FALSE)</f>
        <v>1000</v>
      </c>
      <c r="J101" s="10" t="str">
        <f t="shared" si="5"/>
        <v>Below Min(Bargain)</v>
      </c>
      <c r="K101" s="10">
        <f t="shared" si="6"/>
        <v>100</v>
      </c>
    </row>
    <row r="102" spans="1:11" ht="15.6" x14ac:dyDescent="0.3">
      <c r="A102" s="9">
        <v>45538</v>
      </c>
      <c r="B102" s="3" t="s">
        <v>5</v>
      </c>
      <c r="C102" s="13">
        <v>50</v>
      </c>
      <c r="D102" s="3" t="s">
        <v>8</v>
      </c>
      <c r="E102" s="3" t="s">
        <v>7</v>
      </c>
      <c r="F102" s="10" t="str">
        <f t="shared" si="7"/>
        <v>Sep-2024</v>
      </c>
      <c r="G102" t="str">
        <f t="shared" si="4"/>
        <v>2024-09</v>
      </c>
      <c r="H102" s="10">
        <f>VLOOKUP(B102, Price_List!$A$3:$C$62, 2, FALSE)</f>
        <v>60</v>
      </c>
      <c r="I102" s="10">
        <f>VLOOKUP(B102, Price_List!$A$3:$C$62, 3, FALSE)</f>
        <v>70</v>
      </c>
      <c r="J102" s="10" t="str">
        <f t="shared" si="5"/>
        <v>Below Min(Bargain)</v>
      </c>
      <c r="K102" s="10">
        <f t="shared" si="6"/>
        <v>10</v>
      </c>
    </row>
    <row r="103" spans="1:11" ht="15.6" x14ac:dyDescent="0.3">
      <c r="A103" s="9">
        <v>45538</v>
      </c>
      <c r="B103" s="3" t="s">
        <v>31</v>
      </c>
      <c r="C103" s="13">
        <v>750</v>
      </c>
      <c r="D103" s="3" t="s">
        <v>6</v>
      </c>
      <c r="E103" s="3" t="s">
        <v>7</v>
      </c>
      <c r="F103" s="10" t="str">
        <f t="shared" si="7"/>
        <v>Sep-2024</v>
      </c>
      <c r="G103" t="str">
        <f t="shared" si="4"/>
        <v>2024-09</v>
      </c>
      <c r="H103" s="10">
        <f>VLOOKUP(B103, Price_List!$A$3:$C$62, 2, FALSE)</f>
        <v>1000</v>
      </c>
      <c r="I103" s="10">
        <f>VLOOKUP(B103, Price_List!$A$3:$C$62, 3, FALSE)</f>
        <v>1000</v>
      </c>
      <c r="J103" s="10" t="str">
        <f t="shared" si="5"/>
        <v>Below Min(Bargain)</v>
      </c>
      <c r="K103" s="10">
        <f t="shared" si="6"/>
        <v>250</v>
      </c>
    </row>
    <row r="104" spans="1:11" ht="15.6" x14ac:dyDescent="0.3">
      <c r="A104" s="9">
        <v>45539</v>
      </c>
      <c r="B104" s="3" t="s">
        <v>111</v>
      </c>
      <c r="C104" s="13">
        <v>150</v>
      </c>
      <c r="D104" s="3" t="s">
        <v>6</v>
      </c>
      <c r="E104" s="3" t="s">
        <v>7</v>
      </c>
      <c r="F104" s="10" t="str">
        <f t="shared" si="7"/>
        <v>Sep-2024</v>
      </c>
      <c r="G104" t="str">
        <f t="shared" si="4"/>
        <v>2024-09</v>
      </c>
      <c r="H104" s="10">
        <f>VLOOKUP(B104, Price_List!$A$3:$C$62, 2, FALSE)</f>
        <v>150</v>
      </c>
      <c r="I104" s="10">
        <f>VLOOKUP(B104, Price_List!$A$3:$C$62, 3, FALSE)</f>
        <v>200</v>
      </c>
      <c r="J104" s="10" t="str">
        <f t="shared" si="5"/>
        <v>Within Range</v>
      </c>
      <c r="K104" s="10">
        <f t="shared" si="6"/>
        <v>0</v>
      </c>
    </row>
    <row r="105" spans="1:11" ht="15.6" x14ac:dyDescent="0.3">
      <c r="A105" s="9">
        <v>45539</v>
      </c>
      <c r="B105" s="3" t="s">
        <v>5</v>
      </c>
      <c r="C105" s="13">
        <v>50</v>
      </c>
      <c r="D105" s="3" t="s">
        <v>6</v>
      </c>
      <c r="E105" s="3" t="s">
        <v>7</v>
      </c>
      <c r="F105" s="10" t="str">
        <f t="shared" si="7"/>
        <v>Sep-2024</v>
      </c>
      <c r="G105" t="str">
        <f t="shared" si="4"/>
        <v>2024-09</v>
      </c>
      <c r="H105" s="10">
        <f>VLOOKUP(B105, Price_List!$A$3:$C$62, 2, FALSE)</f>
        <v>60</v>
      </c>
      <c r="I105" s="10">
        <f>VLOOKUP(B105, Price_List!$A$3:$C$62, 3, FALSE)</f>
        <v>70</v>
      </c>
      <c r="J105" s="10" t="str">
        <f t="shared" si="5"/>
        <v>Below Min(Bargain)</v>
      </c>
      <c r="K105" s="10">
        <f t="shared" si="6"/>
        <v>10</v>
      </c>
    </row>
    <row r="106" spans="1:11" ht="15.6" x14ac:dyDescent="0.3">
      <c r="A106" s="9">
        <v>45539</v>
      </c>
      <c r="B106" s="3" t="s">
        <v>11</v>
      </c>
      <c r="C106" s="13">
        <v>350</v>
      </c>
      <c r="D106" s="3" t="s">
        <v>8</v>
      </c>
      <c r="E106" s="3" t="s">
        <v>7</v>
      </c>
      <c r="F106" s="10" t="str">
        <f t="shared" si="7"/>
        <v>Sep-2024</v>
      </c>
      <c r="G106" t="str">
        <f t="shared" si="4"/>
        <v>2024-09</v>
      </c>
      <c r="H106" s="10">
        <f>VLOOKUP(B106, Price_List!$A$3:$C$62, 2, FALSE)</f>
        <v>350</v>
      </c>
      <c r="I106" s="10">
        <f>VLOOKUP(B106, Price_List!$A$3:$C$62, 3, FALSE)</f>
        <v>700</v>
      </c>
      <c r="J106" s="10" t="str">
        <f t="shared" si="5"/>
        <v>Within Range</v>
      </c>
      <c r="K106" s="10">
        <f t="shared" si="6"/>
        <v>0</v>
      </c>
    </row>
    <row r="107" spans="1:11" ht="15.6" x14ac:dyDescent="0.3">
      <c r="A107" s="9">
        <v>45539</v>
      </c>
      <c r="B107" s="3" t="s">
        <v>11</v>
      </c>
      <c r="C107" s="13">
        <v>350</v>
      </c>
      <c r="D107" s="3" t="s">
        <v>6</v>
      </c>
      <c r="E107" s="3" t="s">
        <v>7</v>
      </c>
      <c r="F107" s="10" t="str">
        <f t="shared" si="7"/>
        <v>Sep-2024</v>
      </c>
      <c r="G107" t="str">
        <f t="shared" si="4"/>
        <v>2024-09</v>
      </c>
      <c r="H107" s="10">
        <f>VLOOKUP(B107, Price_List!$A$3:$C$62, 2, FALSE)</f>
        <v>350</v>
      </c>
      <c r="I107" s="10">
        <f>VLOOKUP(B107, Price_List!$A$3:$C$62, 3, FALSE)</f>
        <v>700</v>
      </c>
      <c r="J107" s="10" t="str">
        <f t="shared" si="5"/>
        <v>Within Range</v>
      </c>
      <c r="K107" s="10">
        <f t="shared" si="6"/>
        <v>0</v>
      </c>
    </row>
    <row r="108" spans="1:11" ht="15.6" x14ac:dyDescent="0.3">
      <c r="A108" s="9">
        <v>45540</v>
      </c>
      <c r="B108" s="3" t="s">
        <v>5</v>
      </c>
      <c r="C108" s="13">
        <v>50</v>
      </c>
      <c r="D108" s="3" t="s">
        <v>8</v>
      </c>
      <c r="E108" s="3" t="s">
        <v>7</v>
      </c>
      <c r="F108" s="10" t="str">
        <f t="shared" si="7"/>
        <v>Sep-2024</v>
      </c>
      <c r="G108" t="str">
        <f t="shared" si="4"/>
        <v>2024-09</v>
      </c>
      <c r="H108" s="10">
        <f>VLOOKUP(B108, Price_List!$A$3:$C$62, 2, FALSE)</f>
        <v>60</v>
      </c>
      <c r="I108" s="10">
        <f>VLOOKUP(B108, Price_List!$A$3:$C$62, 3, FALSE)</f>
        <v>70</v>
      </c>
      <c r="J108" s="10" t="str">
        <f t="shared" si="5"/>
        <v>Below Min(Bargain)</v>
      </c>
      <c r="K108" s="10">
        <f t="shared" si="6"/>
        <v>10</v>
      </c>
    </row>
    <row r="109" spans="1:11" ht="15.6" x14ac:dyDescent="0.3">
      <c r="A109" s="9">
        <v>45540</v>
      </c>
      <c r="B109" s="3" t="s">
        <v>32</v>
      </c>
      <c r="C109" s="13">
        <v>600</v>
      </c>
      <c r="D109" s="3" t="s">
        <v>8</v>
      </c>
      <c r="E109" s="3" t="s">
        <v>7</v>
      </c>
      <c r="F109" s="10" t="str">
        <f t="shared" si="7"/>
        <v>Sep-2024</v>
      </c>
      <c r="G109" t="str">
        <f t="shared" si="4"/>
        <v>2024-09</v>
      </c>
      <c r="H109" s="10">
        <f>VLOOKUP(B109, Price_List!$A$3:$C$62, 2, FALSE)</f>
        <v>600</v>
      </c>
      <c r="I109" s="10">
        <f>VLOOKUP(B109, Price_List!$A$3:$C$62, 3, FALSE)</f>
        <v>1000</v>
      </c>
      <c r="J109" s="10" t="str">
        <f t="shared" si="5"/>
        <v>Within Range</v>
      </c>
      <c r="K109" s="10">
        <f t="shared" si="6"/>
        <v>0</v>
      </c>
    </row>
    <row r="110" spans="1:11" ht="15.6" x14ac:dyDescent="0.3">
      <c r="A110" s="9">
        <v>45540</v>
      </c>
      <c r="B110" s="3" t="s">
        <v>5</v>
      </c>
      <c r="C110" s="13">
        <v>50</v>
      </c>
      <c r="D110" s="3" t="s">
        <v>8</v>
      </c>
      <c r="E110" s="3" t="s">
        <v>7</v>
      </c>
      <c r="F110" s="10" t="str">
        <f t="shared" si="7"/>
        <v>Sep-2024</v>
      </c>
      <c r="G110" t="str">
        <f t="shared" si="4"/>
        <v>2024-09</v>
      </c>
      <c r="H110" s="10">
        <f>VLOOKUP(B110, Price_List!$A$3:$C$62, 2, FALSE)</f>
        <v>60</v>
      </c>
      <c r="I110" s="10">
        <f>VLOOKUP(B110, Price_List!$A$3:$C$62, 3, FALSE)</f>
        <v>70</v>
      </c>
      <c r="J110" s="10" t="str">
        <f t="shared" si="5"/>
        <v>Below Min(Bargain)</v>
      </c>
      <c r="K110" s="10">
        <f t="shared" si="6"/>
        <v>10</v>
      </c>
    </row>
    <row r="111" spans="1:11" ht="15.6" x14ac:dyDescent="0.3">
      <c r="A111" s="9">
        <v>45541</v>
      </c>
      <c r="B111" s="3" t="s">
        <v>12</v>
      </c>
      <c r="C111" s="13">
        <v>200</v>
      </c>
      <c r="D111" s="3" t="s">
        <v>8</v>
      </c>
      <c r="E111" s="3" t="s">
        <v>7</v>
      </c>
      <c r="F111" s="10" t="str">
        <f t="shared" si="7"/>
        <v>Sep-2024</v>
      </c>
      <c r="G111" t="str">
        <f t="shared" si="4"/>
        <v>2024-09</v>
      </c>
      <c r="H111" s="10">
        <f>VLOOKUP(B111, Price_List!$A$3:$C$62, 2, FALSE)</f>
        <v>350</v>
      </c>
      <c r="I111" s="10">
        <f>VLOOKUP(B111, Price_List!$A$3:$C$62, 3, FALSE)</f>
        <v>500</v>
      </c>
      <c r="J111" s="10" t="str">
        <f t="shared" si="5"/>
        <v>Below Min(Bargain)</v>
      </c>
      <c r="K111" s="10">
        <f t="shared" si="6"/>
        <v>150</v>
      </c>
    </row>
    <row r="112" spans="1:11" ht="15.6" x14ac:dyDescent="0.3">
      <c r="A112" s="9">
        <v>45541</v>
      </c>
      <c r="B112" s="3" t="s">
        <v>20</v>
      </c>
      <c r="C112" s="13">
        <v>1000</v>
      </c>
      <c r="D112" s="3" t="s">
        <v>8</v>
      </c>
      <c r="E112" s="3" t="s">
        <v>7</v>
      </c>
      <c r="F112" s="10" t="str">
        <f t="shared" si="7"/>
        <v>Sep-2024</v>
      </c>
      <c r="G112" t="str">
        <f t="shared" si="4"/>
        <v>2024-09</v>
      </c>
      <c r="H112" s="10">
        <f>VLOOKUP(B112, Price_List!$A$3:$C$62, 2, FALSE)</f>
        <v>1000</v>
      </c>
      <c r="I112" s="10">
        <f>VLOOKUP(B112, Price_List!$A$3:$C$62, 3, FALSE)</f>
        <v>1000</v>
      </c>
      <c r="J112" s="10" t="str">
        <f t="shared" si="5"/>
        <v>Within Range</v>
      </c>
      <c r="K112" s="10">
        <f t="shared" si="6"/>
        <v>0</v>
      </c>
    </row>
    <row r="113" spans="1:11" ht="15.6" x14ac:dyDescent="0.3">
      <c r="A113" s="9">
        <v>45541</v>
      </c>
      <c r="B113" s="3" t="s">
        <v>5</v>
      </c>
      <c r="C113" s="13">
        <v>50</v>
      </c>
      <c r="D113" s="3" t="s">
        <v>8</v>
      </c>
      <c r="E113" s="3" t="s">
        <v>7</v>
      </c>
      <c r="F113" s="10" t="str">
        <f t="shared" si="7"/>
        <v>Sep-2024</v>
      </c>
      <c r="G113" t="str">
        <f t="shared" si="4"/>
        <v>2024-09</v>
      </c>
      <c r="H113" s="10">
        <f>VLOOKUP(B113, Price_List!$A$3:$C$62, 2, FALSE)</f>
        <v>60</v>
      </c>
      <c r="I113" s="10">
        <f>VLOOKUP(B113, Price_List!$A$3:$C$62, 3, FALSE)</f>
        <v>70</v>
      </c>
      <c r="J113" s="10" t="str">
        <f t="shared" si="5"/>
        <v>Below Min(Bargain)</v>
      </c>
      <c r="K113" s="10">
        <f t="shared" si="6"/>
        <v>10</v>
      </c>
    </row>
    <row r="114" spans="1:11" ht="15.6" x14ac:dyDescent="0.3">
      <c r="A114" s="9">
        <v>45542</v>
      </c>
      <c r="B114" s="3" t="s">
        <v>20</v>
      </c>
      <c r="C114" s="13">
        <v>850</v>
      </c>
      <c r="D114" s="3" t="s">
        <v>8</v>
      </c>
      <c r="E114" s="3" t="s">
        <v>7</v>
      </c>
      <c r="F114" s="10" t="str">
        <f t="shared" si="7"/>
        <v>Sep-2024</v>
      </c>
      <c r="G114" t="str">
        <f t="shared" si="4"/>
        <v>2024-09</v>
      </c>
      <c r="H114" s="10">
        <f>VLOOKUP(B114, Price_List!$A$3:$C$62, 2, FALSE)</f>
        <v>1000</v>
      </c>
      <c r="I114" s="10">
        <f>VLOOKUP(B114, Price_List!$A$3:$C$62, 3, FALSE)</f>
        <v>1000</v>
      </c>
      <c r="J114" s="10" t="str">
        <f t="shared" si="5"/>
        <v>Below Min(Bargain)</v>
      </c>
      <c r="K114" s="10">
        <f t="shared" si="6"/>
        <v>150</v>
      </c>
    </row>
    <row r="115" spans="1:11" ht="15.6" x14ac:dyDescent="0.3">
      <c r="A115" s="9">
        <v>45542</v>
      </c>
      <c r="B115" s="3" t="s">
        <v>5</v>
      </c>
      <c r="C115" s="13">
        <v>50</v>
      </c>
      <c r="D115" s="3" t="s">
        <v>8</v>
      </c>
      <c r="E115" s="3" t="s">
        <v>7</v>
      </c>
      <c r="F115" s="10" t="str">
        <f t="shared" si="7"/>
        <v>Sep-2024</v>
      </c>
      <c r="G115" t="str">
        <f t="shared" si="4"/>
        <v>2024-09</v>
      </c>
      <c r="H115" s="10">
        <f>VLOOKUP(B115, Price_List!$A$3:$C$62, 2, FALSE)</f>
        <v>60</v>
      </c>
      <c r="I115" s="10">
        <f>VLOOKUP(B115, Price_List!$A$3:$C$62, 3, FALSE)</f>
        <v>70</v>
      </c>
      <c r="J115" s="10" t="str">
        <f t="shared" si="5"/>
        <v>Below Min(Bargain)</v>
      </c>
      <c r="K115" s="10">
        <f t="shared" si="6"/>
        <v>10</v>
      </c>
    </row>
    <row r="116" spans="1:11" ht="15.6" x14ac:dyDescent="0.3">
      <c r="A116" s="9">
        <v>45542</v>
      </c>
      <c r="B116" s="3" t="s">
        <v>11</v>
      </c>
      <c r="C116" s="13">
        <v>350</v>
      </c>
      <c r="D116" s="3" t="s">
        <v>8</v>
      </c>
      <c r="E116" s="3" t="s">
        <v>7</v>
      </c>
      <c r="F116" s="10" t="str">
        <f t="shared" si="7"/>
        <v>Sep-2024</v>
      </c>
      <c r="G116" t="str">
        <f t="shared" si="4"/>
        <v>2024-09</v>
      </c>
      <c r="H116" s="10">
        <f>VLOOKUP(B116, Price_List!$A$3:$C$62, 2, FALSE)</f>
        <v>350</v>
      </c>
      <c r="I116" s="10">
        <f>VLOOKUP(B116, Price_List!$A$3:$C$62, 3, FALSE)</f>
        <v>700</v>
      </c>
      <c r="J116" s="10" t="str">
        <f t="shared" si="5"/>
        <v>Within Range</v>
      </c>
      <c r="K116" s="10">
        <f t="shared" si="6"/>
        <v>0</v>
      </c>
    </row>
    <row r="117" spans="1:11" ht="15.6" x14ac:dyDescent="0.3">
      <c r="A117" s="9">
        <v>45542</v>
      </c>
      <c r="B117" s="3" t="s">
        <v>5</v>
      </c>
      <c r="C117" s="13">
        <v>50</v>
      </c>
      <c r="D117" s="3" t="s">
        <v>8</v>
      </c>
      <c r="E117" s="3" t="s">
        <v>7</v>
      </c>
      <c r="F117" s="10" t="str">
        <f t="shared" si="7"/>
        <v>Sep-2024</v>
      </c>
      <c r="G117" t="str">
        <f t="shared" si="4"/>
        <v>2024-09</v>
      </c>
      <c r="H117" s="10">
        <f>VLOOKUP(B117, Price_List!$A$3:$C$62, 2, FALSE)</f>
        <v>60</v>
      </c>
      <c r="I117" s="10">
        <f>VLOOKUP(B117, Price_List!$A$3:$C$62, 3, FALSE)</f>
        <v>70</v>
      </c>
      <c r="J117" s="10" t="str">
        <f t="shared" si="5"/>
        <v>Below Min(Bargain)</v>
      </c>
      <c r="K117" s="10">
        <f t="shared" si="6"/>
        <v>10</v>
      </c>
    </row>
    <row r="118" spans="1:11" ht="15.6" x14ac:dyDescent="0.3">
      <c r="A118" s="9">
        <v>45542</v>
      </c>
      <c r="B118" s="3" t="s">
        <v>18</v>
      </c>
      <c r="C118" s="13">
        <v>700</v>
      </c>
      <c r="D118" s="3" t="s">
        <v>8</v>
      </c>
      <c r="E118" s="3" t="s">
        <v>7</v>
      </c>
      <c r="F118" s="10" t="str">
        <f t="shared" si="7"/>
        <v>Sep-2024</v>
      </c>
      <c r="G118" t="str">
        <f t="shared" si="4"/>
        <v>2024-09</v>
      </c>
      <c r="H118" s="10">
        <f>VLOOKUP(B118, Price_List!$A$3:$C$62, 2, FALSE)</f>
        <v>700</v>
      </c>
      <c r="I118" s="10">
        <f>VLOOKUP(B118, Price_List!$A$3:$C$62, 3, FALSE)</f>
        <v>700</v>
      </c>
      <c r="J118" s="10" t="str">
        <f t="shared" si="5"/>
        <v>Within Range</v>
      </c>
      <c r="K118" s="10">
        <f t="shared" si="6"/>
        <v>0</v>
      </c>
    </row>
    <row r="119" spans="1:11" ht="15.6" x14ac:dyDescent="0.3">
      <c r="A119" s="9">
        <v>45542</v>
      </c>
      <c r="B119" s="3" t="s">
        <v>18</v>
      </c>
      <c r="C119" s="13">
        <v>700</v>
      </c>
      <c r="D119" s="3" t="s">
        <v>8</v>
      </c>
      <c r="E119" s="3" t="s">
        <v>7</v>
      </c>
      <c r="F119" s="10" t="str">
        <f t="shared" si="7"/>
        <v>Sep-2024</v>
      </c>
      <c r="G119" t="str">
        <f t="shared" si="4"/>
        <v>2024-09</v>
      </c>
      <c r="H119" s="10">
        <f>VLOOKUP(B119, Price_List!$A$3:$C$62, 2, FALSE)</f>
        <v>700</v>
      </c>
      <c r="I119" s="10">
        <f>VLOOKUP(B119, Price_List!$A$3:$C$62, 3, FALSE)</f>
        <v>700</v>
      </c>
      <c r="J119" s="10" t="str">
        <f t="shared" si="5"/>
        <v>Within Range</v>
      </c>
      <c r="K119" s="10">
        <f t="shared" si="6"/>
        <v>0</v>
      </c>
    </row>
    <row r="120" spans="1:11" ht="15.6" x14ac:dyDescent="0.3">
      <c r="A120" s="9">
        <v>45544</v>
      </c>
      <c r="B120" s="15" t="s">
        <v>103</v>
      </c>
      <c r="C120" s="13">
        <v>850</v>
      </c>
      <c r="D120" s="3" t="s">
        <v>8</v>
      </c>
      <c r="E120" s="3" t="s">
        <v>7</v>
      </c>
      <c r="F120" s="10" t="str">
        <f t="shared" si="7"/>
        <v>Sep-2024</v>
      </c>
      <c r="G120" t="str">
        <f t="shared" si="4"/>
        <v>2024-09</v>
      </c>
      <c r="H120" s="10">
        <f>VLOOKUP(B120, Price_List!$A$3:$C$62, 2, FALSE)</f>
        <v>800</v>
      </c>
      <c r="I120" s="10">
        <f>VLOOKUP(B120, Price_List!$A$3:$C$62, 3, FALSE)</f>
        <v>800</v>
      </c>
      <c r="J120" s="10" t="str">
        <f t="shared" si="5"/>
        <v>Above Max</v>
      </c>
      <c r="K120" s="10">
        <f t="shared" si="6"/>
        <v>0</v>
      </c>
    </row>
    <row r="121" spans="1:11" ht="15.6" x14ac:dyDescent="0.3">
      <c r="A121" s="9">
        <v>45544</v>
      </c>
      <c r="B121" s="15" t="s">
        <v>104</v>
      </c>
      <c r="C121" s="13">
        <v>420</v>
      </c>
      <c r="D121" s="3" t="s">
        <v>8</v>
      </c>
      <c r="E121" s="3" t="s">
        <v>7</v>
      </c>
      <c r="F121" s="10" t="str">
        <f t="shared" si="7"/>
        <v>Sep-2024</v>
      </c>
      <c r="G121" t="str">
        <f t="shared" si="4"/>
        <v>2024-09</v>
      </c>
      <c r="H121" s="10">
        <f>VLOOKUP(B121, Price_List!$A$3:$C$62, 2, FALSE)</f>
        <v>500</v>
      </c>
      <c r="I121" s="10">
        <f>VLOOKUP(B121, Price_List!$A$3:$C$62, 3, FALSE)</f>
        <v>500</v>
      </c>
      <c r="J121" s="10" t="str">
        <f t="shared" si="5"/>
        <v>Below Min(Bargain)</v>
      </c>
      <c r="K121" s="10">
        <f t="shared" si="6"/>
        <v>80</v>
      </c>
    </row>
    <row r="122" spans="1:11" ht="15.6" x14ac:dyDescent="0.3">
      <c r="A122" s="9">
        <v>45544</v>
      </c>
      <c r="B122" s="3" t="s">
        <v>5</v>
      </c>
      <c r="C122" s="13">
        <v>50</v>
      </c>
      <c r="D122" s="3" t="s">
        <v>8</v>
      </c>
      <c r="E122" s="3" t="s">
        <v>7</v>
      </c>
      <c r="F122" s="10" t="str">
        <f t="shared" si="7"/>
        <v>Sep-2024</v>
      </c>
      <c r="G122" t="str">
        <f t="shared" si="4"/>
        <v>2024-09</v>
      </c>
      <c r="H122" s="10">
        <f>VLOOKUP(B122, Price_List!$A$3:$C$62, 2, FALSE)</f>
        <v>60</v>
      </c>
      <c r="I122" s="10">
        <f>VLOOKUP(B122, Price_List!$A$3:$C$62, 3, FALSE)</f>
        <v>70</v>
      </c>
      <c r="J122" s="10" t="str">
        <f t="shared" si="5"/>
        <v>Below Min(Bargain)</v>
      </c>
      <c r="K122" s="10">
        <f t="shared" si="6"/>
        <v>10</v>
      </c>
    </row>
    <row r="123" spans="1:11" ht="15.6" x14ac:dyDescent="0.3">
      <c r="A123" s="9">
        <v>45546</v>
      </c>
      <c r="B123" s="15" t="s">
        <v>112</v>
      </c>
      <c r="C123" s="13">
        <v>700</v>
      </c>
      <c r="D123" s="3" t="s">
        <v>8</v>
      </c>
      <c r="E123" s="3" t="s">
        <v>7</v>
      </c>
      <c r="F123" s="10" t="str">
        <f t="shared" si="7"/>
        <v>Sep-2024</v>
      </c>
      <c r="G123" t="str">
        <f t="shared" si="4"/>
        <v>2024-09</v>
      </c>
      <c r="H123" s="10">
        <f>VLOOKUP(B123, Price_List!$A$3:$C$62, 2, FALSE)</f>
        <v>700</v>
      </c>
      <c r="I123" s="10">
        <f>VLOOKUP(B123, Price_List!$A$3:$C$62, 3, FALSE)</f>
        <v>700</v>
      </c>
      <c r="J123" s="10" t="str">
        <f t="shared" si="5"/>
        <v>Within Range</v>
      </c>
      <c r="K123" s="10">
        <f t="shared" si="6"/>
        <v>0</v>
      </c>
    </row>
    <row r="124" spans="1:11" ht="15.6" x14ac:dyDescent="0.3">
      <c r="A124" s="9">
        <v>45546</v>
      </c>
      <c r="B124" s="15" t="s">
        <v>112</v>
      </c>
      <c r="C124" s="13">
        <v>700</v>
      </c>
      <c r="D124" s="3" t="s">
        <v>8</v>
      </c>
      <c r="E124" s="3" t="s">
        <v>7</v>
      </c>
      <c r="F124" s="10" t="str">
        <f t="shared" si="7"/>
        <v>Sep-2024</v>
      </c>
      <c r="G124" t="str">
        <f t="shared" si="4"/>
        <v>2024-09</v>
      </c>
      <c r="H124" s="10">
        <f>VLOOKUP(B124, Price_List!$A$3:$C$62, 2, FALSE)</f>
        <v>700</v>
      </c>
      <c r="I124" s="10">
        <f>VLOOKUP(B124, Price_List!$A$3:$C$62, 3, FALSE)</f>
        <v>700</v>
      </c>
      <c r="J124" s="10" t="str">
        <f t="shared" si="5"/>
        <v>Within Range</v>
      </c>
      <c r="K124" s="10">
        <f t="shared" si="6"/>
        <v>0</v>
      </c>
    </row>
    <row r="125" spans="1:11" ht="15.6" x14ac:dyDescent="0.3">
      <c r="A125" s="9">
        <v>45546</v>
      </c>
      <c r="B125" s="3" t="s">
        <v>5</v>
      </c>
      <c r="C125" s="13">
        <v>50</v>
      </c>
      <c r="D125" s="3" t="s">
        <v>8</v>
      </c>
      <c r="E125" s="3" t="s">
        <v>7</v>
      </c>
      <c r="F125" s="10" t="str">
        <f t="shared" si="7"/>
        <v>Sep-2024</v>
      </c>
      <c r="G125" t="str">
        <f t="shared" si="4"/>
        <v>2024-09</v>
      </c>
      <c r="H125" s="10">
        <f>VLOOKUP(B125, Price_List!$A$3:$C$62, 2, FALSE)</f>
        <v>60</v>
      </c>
      <c r="I125" s="10">
        <f>VLOOKUP(B125, Price_List!$A$3:$C$62, 3, FALSE)</f>
        <v>70</v>
      </c>
      <c r="J125" s="10" t="str">
        <f t="shared" si="5"/>
        <v>Below Min(Bargain)</v>
      </c>
      <c r="K125" s="10">
        <f t="shared" si="6"/>
        <v>10</v>
      </c>
    </row>
    <row r="126" spans="1:11" ht="15.6" x14ac:dyDescent="0.3">
      <c r="A126" s="9">
        <v>45546</v>
      </c>
      <c r="B126" s="3" t="s">
        <v>5</v>
      </c>
      <c r="C126" s="13">
        <v>50</v>
      </c>
      <c r="D126" s="3" t="s">
        <v>8</v>
      </c>
      <c r="E126" s="3" t="s">
        <v>7</v>
      </c>
      <c r="F126" s="10" t="str">
        <f t="shared" si="7"/>
        <v>Sep-2024</v>
      </c>
      <c r="G126" t="str">
        <f t="shared" si="4"/>
        <v>2024-09</v>
      </c>
      <c r="H126" s="10">
        <f>VLOOKUP(B126, Price_List!$A$3:$C$62, 2, FALSE)</f>
        <v>60</v>
      </c>
      <c r="I126" s="10">
        <f>VLOOKUP(B126, Price_List!$A$3:$C$62, 3, FALSE)</f>
        <v>70</v>
      </c>
      <c r="J126" s="10" t="str">
        <f t="shared" si="5"/>
        <v>Below Min(Bargain)</v>
      </c>
      <c r="K126" s="10">
        <f t="shared" si="6"/>
        <v>10</v>
      </c>
    </row>
    <row r="127" spans="1:11" ht="15.6" x14ac:dyDescent="0.3">
      <c r="A127" s="9">
        <v>45546</v>
      </c>
      <c r="B127" s="3" t="s">
        <v>5</v>
      </c>
      <c r="C127" s="13">
        <v>60</v>
      </c>
      <c r="D127" s="3" t="s">
        <v>8</v>
      </c>
      <c r="E127" s="3" t="s">
        <v>7</v>
      </c>
      <c r="F127" s="10" t="str">
        <f t="shared" si="7"/>
        <v>Sep-2024</v>
      </c>
      <c r="G127" t="str">
        <f t="shared" si="4"/>
        <v>2024-09</v>
      </c>
      <c r="H127" s="10">
        <f>VLOOKUP(B127, Price_List!$A$3:$C$62, 2, FALSE)</f>
        <v>60</v>
      </c>
      <c r="I127" s="10">
        <f>VLOOKUP(B127, Price_List!$A$3:$C$62, 3, FALSE)</f>
        <v>70</v>
      </c>
      <c r="J127" s="10" t="str">
        <f t="shared" si="5"/>
        <v>Within Range</v>
      </c>
      <c r="K127" s="10">
        <f t="shared" si="6"/>
        <v>0</v>
      </c>
    </row>
    <row r="128" spans="1:11" ht="15.6" x14ac:dyDescent="0.3">
      <c r="A128" s="9">
        <v>45548</v>
      </c>
      <c r="B128" s="15" t="s">
        <v>113</v>
      </c>
      <c r="C128" s="13">
        <v>1200</v>
      </c>
      <c r="D128" s="3" t="s">
        <v>8</v>
      </c>
      <c r="E128" s="3" t="s">
        <v>7</v>
      </c>
      <c r="F128" s="10" t="str">
        <f t="shared" si="7"/>
        <v>Sep-2024</v>
      </c>
      <c r="G128" t="str">
        <f t="shared" si="4"/>
        <v>2024-09</v>
      </c>
      <c r="H128" s="10">
        <f>VLOOKUP(B128, Price_List!$A$3:$C$62, 2, FALSE)</f>
        <v>2000</v>
      </c>
      <c r="I128" s="10">
        <f>VLOOKUP(B128, Price_List!$A$3:$C$62, 3, FALSE)</f>
        <v>2000</v>
      </c>
      <c r="J128" s="10" t="str">
        <f t="shared" si="5"/>
        <v>Below Min(Bargain)</v>
      </c>
      <c r="K128" s="10">
        <f t="shared" si="6"/>
        <v>800</v>
      </c>
    </row>
    <row r="129" spans="1:11" ht="15.6" x14ac:dyDescent="0.3">
      <c r="A129" s="9">
        <v>45548</v>
      </c>
      <c r="B129" s="3" t="s">
        <v>12</v>
      </c>
      <c r="C129" s="13">
        <v>300</v>
      </c>
      <c r="D129" s="3" t="s">
        <v>8</v>
      </c>
      <c r="E129" s="3" t="s">
        <v>7</v>
      </c>
      <c r="F129" s="10" t="str">
        <f t="shared" si="7"/>
        <v>Sep-2024</v>
      </c>
      <c r="G129" t="str">
        <f t="shared" si="4"/>
        <v>2024-09</v>
      </c>
      <c r="H129" s="10">
        <f>VLOOKUP(B129, Price_List!$A$3:$C$62, 2, FALSE)</f>
        <v>350</v>
      </c>
      <c r="I129" s="10">
        <f>VLOOKUP(B129, Price_List!$A$3:$C$62, 3, FALSE)</f>
        <v>500</v>
      </c>
      <c r="J129" s="10" t="str">
        <f t="shared" si="5"/>
        <v>Below Min(Bargain)</v>
      </c>
      <c r="K129" s="10">
        <f t="shared" si="6"/>
        <v>50</v>
      </c>
    </row>
    <row r="130" spans="1:11" ht="15.6" x14ac:dyDescent="0.3">
      <c r="A130" s="9">
        <v>45548</v>
      </c>
      <c r="B130" s="3" t="s">
        <v>5</v>
      </c>
      <c r="C130" s="13">
        <v>50</v>
      </c>
      <c r="D130" s="3" t="s">
        <v>8</v>
      </c>
      <c r="E130" s="3" t="s">
        <v>7</v>
      </c>
      <c r="F130" s="10" t="str">
        <f t="shared" si="7"/>
        <v>Sep-2024</v>
      </c>
      <c r="G130" t="str">
        <f t="shared" si="4"/>
        <v>2024-09</v>
      </c>
      <c r="H130" s="10">
        <f>VLOOKUP(B130, Price_List!$A$3:$C$62, 2, FALSE)</f>
        <v>60</v>
      </c>
      <c r="I130" s="10">
        <f>VLOOKUP(B130, Price_List!$A$3:$C$62, 3, FALSE)</f>
        <v>70</v>
      </c>
      <c r="J130" s="10" t="str">
        <f t="shared" si="5"/>
        <v>Below Min(Bargain)</v>
      </c>
      <c r="K130" s="10">
        <f t="shared" si="6"/>
        <v>10</v>
      </c>
    </row>
    <row r="131" spans="1:11" ht="15.6" x14ac:dyDescent="0.3">
      <c r="A131" s="9">
        <v>45552</v>
      </c>
      <c r="B131" s="3" t="s">
        <v>5</v>
      </c>
      <c r="C131" s="13">
        <v>50</v>
      </c>
      <c r="D131" s="3" t="s">
        <v>6</v>
      </c>
      <c r="E131" s="3" t="s">
        <v>7</v>
      </c>
      <c r="F131" s="10" t="str">
        <f t="shared" si="7"/>
        <v>Sep-2024</v>
      </c>
      <c r="G131" t="str">
        <f t="shared" ref="G131:G194" si="8">TEXT(A131,"yyyy-mm")</f>
        <v>2024-09</v>
      </c>
      <c r="H131" s="10">
        <f>VLOOKUP(B131, Price_List!$A$3:$C$62, 2, FALSE)</f>
        <v>60</v>
      </c>
      <c r="I131" s="10">
        <f>VLOOKUP(B131, Price_List!$A$3:$C$62, 3, FALSE)</f>
        <v>70</v>
      </c>
      <c r="J131" s="10" t="str">
        <f t="shared" ref="J131:J194" si="9">IF(C131 &lt; H131, "Below Min(Bargain)", IF(C131 &gt; I131, "Above Max", "Within Range"))</f>
        <v>Below Min(Bargain)</v>
      </c>
      <c r="K131" s="10">
        <f t="shared" ref="K131:K194" si="10">IF(C131 &lt; H131, H131 - C131, 0)</f>
        <v>10</v>
      </c>
    </row>
    <row r="132" spans="1:11" ht="15.6" x14ac:dyDescent="0.3">
      <c r="A132" s="9">
        <v>45553</v>
      </c>
      <c r="B132" s="3" t="s">
        <v>36</v>
      </c>
      <c r="C132" s="13">
        <v>150</v>
      </c>
      <c r="D132" s="3" t="s">
        <v>6</v>
      </c>
      <c r="E132" s="3" t="s">
        <v>7</v>
      </c>
      <c r="F132" s="10" t="str">
        <f t="shared" ref="F132:F195" si="11">TEXT(A132, "mmm-yyyy")</f>
        <v>Sep-2024</v>
      </c>
      <c r="G132" t="str">
        <f t="shared" si="8"/>
        <v>2024-09</v>
      </c>
      <c r="H132" s="10">
        <f>VLOOKUP(B132, Price_List!$A$3:$C$62, 2, FALSE)</f>
        <v>70</v>
      </c>
      <c r="I132" s="10">
        <f>VLOOKUP(B132, Price_List!$A$3:$C$62, 3, FALSE)</f>
        <v>140</v>
      </c>
      <c r="J132" s="10" t="str">
        <f t="shared" si="9"/>
        <v>Above Max</v>
      </c>
      <c r="K132" s="10">
        <f t="shared" si="10"/>
        <v>0</v>
      </c>
    </row>
    <row r="133" spans="1:11" ht="15.6" x14ac:dyDescent="0.3">
      <c r="A133" s="9">
        <v>45553</v>
      </c>
      <c r="B133" s="3" t="s">
        <v>111</v>
      </c>
      <c r="C133" s="13">
        <v>120</v>
      </c>
      <c r="D133" s="3" t="s">
        <v>8</v>
      </c>
      <c r="E133" s="3" t="s">
        <v>7</v>
      </c>
      <c r="F133" s="10" t="str">
        <f t="shared" si="11"/>
        <v>Sep-2024</v>
      </c>
      <c r="G133" t="str">
        <f t="shared" si="8"/>
        <v>2024-09</v>
      </c>
      <c r="H133" s="10">
        <f>VLOOKUP(B133, Price_List!$A$3:$C$62, 2, FALSE)</f>
        <v>150</v>
      </c>
      <c r="I133" s="10">
        <f>VLOOKUP(B133, Price_List!$A$3:$C$62, 3, FALSE)</f>
        <v>200</v>
      </c>
      <c r="J133" s="10" t="str">
        <f t="shared" si="9"/>
        <v>Below Min(Bargain)</v>
      </c>
      <c r="K133" s="10">
        <f t="shared" si="10"/>
        <v>30</v>
      </c>
    </row>
    <row r="134" spans="1:11" ht="15.6" x14ac:dyDescent="0.3">
      <c r="A134" s="9">
        <v>45553</v>
      </c>
      <c r="B134" s="15" t="s">
        <v>114</v>
      </c>
      <c r="C134" s="13">
        <v>800</v>
      </c>
      <c r="D134" s="3" t="s">
        <v>8</v>
      </c>
      <c r="E134" s="3" t="s">
        <v>7</v>
      </c>
      <c r="F134" s="10" t="str">
        <f t="shared" si="11"/>
        <v>Sep-2024</v>
      </c>
      <c r="G134" t="str">
        <f t="shared" si="8"/>
        <v>2024-09</v>
      </c>
      <c r="H134" s="10">
        <f>VLOOKUP(B134, Price_List!$A$3:$C$62, 2, FALSE)</f>
        <v>700</v>
      </c>
      <c r="I134" s="10">
        <f>VLOOKUP(B134, Price_List!$A$3:$C$62, 3, FALSE)</f>
        <v>700</v>
      </c>
      <c r="J134" s="10" t="str">
        <f t="shared" si="9"/>
        <v>Above Max</v>
      </c>
      <c r="K134" s="10">
        <f t="shared" si="10"/>
        <v>0</v>
      </c>
    </row>
    <row r="135" spans="1:11" ht="15.6" x14ac:dyDescent="0.3">
      <c r="A135" s="9">
        <v>45555</v>
      </c>
      <c r="B135" s="15" t="s">
        <v>19</v>
      </c>
      <c r="C135" s="13">
        <v>300</v>
      </c>
      <c r="D135" s="3" t="s">
        <v>6</v>
      </c>
      <c r="E135" s="3" t="s">
        <v>7</v>
      </c>
      <c r="F135" s="10" t="str">
        <f t="shared" si="11"/>
        <v>Sep-2024</v>
      </c>
      <c r="G135" t="str">
        <f t="shared" si="8"/>
        <v>2024-09</v>
      </c>
      <c r="H135" s="10">
        <f>VLOOKUP(B135, Price_List!$A$3:$C$62, 2, FALSE)</f>
        <v>300</v>
      </c>
      <c r="I135" s="10">
        <f>VLOOKUP(B135, Price_List!$A$3:$C$62, 3, FALSE)</f>
        <v>300</v>
      </c>
      <c r="J135" s="10" t="str">
        <f t="shared" si="9"/>
        <v>Within Range</v>
      </c>
      <c r="K135" s="10">
        <f t="shared" si="10"/>
        <v>0</v>
      </c>
    </row>
    <row r="136" spans="1:11" ht="15.6" x14ac:dyDescent="0.3">
      <c r="A136" s="9">
        <v>45556</v>
      </c>
      <c r="B136" s="3" t="s">
        <v>5</v>
      </c>
      <c r="C136" s="13">
        <v>50</v>
      </c>
      <c r="D136" s="3" t="s">
        <v>8</v>
      </c>
      <c r="E136" s="3" t="s">
        <v>7</v>
      </c>
      <c r="F136" s="10" t="str">
        <f t="shared" si="11"/>
        <v>Sep-2024</v>
      </c>
      <c r="G136" t="str">
        <f t="shared" si="8"/>
        <v>2024-09</v>
      </c>
      <c r="H136" s="10">
        <f>VLOOKUP(B136, Price_List!$A$3:$C$62, 2, FALSE)</f>
        <v>60</v>
      </c>
      <c r="I136" s="10">
        <f>VLOOKUP(B136, Price_List!$A$3:$C$62, 3, FALSE)</f>
        <v>70</v>
      </c>
      <c r="J136" s="10" t="str">
        <f t="shared" si="9"/>
        <v>Below Min(Bargain)</v>
      </c>
      <c r="K136" s="10">
        <f t="shared" si="10"/>
        <v>10</v>
      </c>
    </row>
    <row r="137" spans="1:11" ht="15.6" x14ac:dyDescent="0.3">
      <c r="A137" s="9">
        <v>45556</v>
      </c>
      <c r="B137" s="3" t="s">
        <v>14</v>
      </c>
      <c r="C137" s="13">
        <v>700</v>
      </c>
      <c r="D137" s="3" t="s">
        <v>8</v>
      </c>
      <c r="E137" s="3" t="s">
        <v>7</v>
      </c>
      <c r="F137" s="10" t="str">
        <f t="shared" si="11"/>
        <v>Sep-2024</v>
      </c>
      <c r="G137" t="str">
        <f t="shared" si="8"/>
        <v>2024-09</v>
      </c>
      <c r="H137" s="10">
        <f>VLOOKUP(B137, Price_List!$A$3:$C$62, 2, FALSE)</f>
        <v>800</v>
      </c>
      <c r="I137" s="10">
        <f>VLOOKUP(B137, Price_List!$A$3:$C$62, 3, FALSE)</f>
        <v>1000</v>
      </c>
      <c r="J137" s="10" t="str">
        <f t="shared" si="9"/>
        <v>Below Min(Bargain)</v>
      </c>
      <c r="K137" s="10">
        <f t="shared" si="10"/>
        <v>100</v>
      </c>
    </row>
    <row r="138" spans="1:11" ht="15.6" x14ac:dyDescent="0.3">
      <c r="A138" s="9">
        <v>45556</v>
      </c>
      <c r="B138" s="3" t="s">
        <v>36</v>
      </c>
      <c r="C138" s="13">
        <v>100</v>
      </c>
      <c r="D138" s="3" t="s">
        <v>8</v>
      </c>
      <c r="E138" s="3" t="s">
        <v>7</v>
      </c>
      <c r="F138" s="10" t="str">
        <f t="shared" si="11"/>
        <v>Sep-2024</v>
      </c>
      <c r="G138" t="str">
        <f t="shared" si="8"/>
        <v>2024-09</v>
      </c>
      <c r="H138" s="10">
        <f>VLOOKUP(B138, Price_List!$A$3:$C$62, 2, FALSE)</f>
        <v>70</v>
      </c>
      <c r="I138" s="10">
        <f>VLOOKUP(B138, Price_List!$A$3:$C$62, 3, FALSE)</f>
        <v>140</v>
      </c>
      <c r="J138" s="10" t="str">
        <f t="shared" si="9"/>
        <v>Within Range</v>
      </c>
      <c r="K138" s="10">
        <f t="shared" si="10"/>
        <v>0</v>
      </c>
    </row>
    <row r="139" spans="1:11" ht="15.6" x14ac:dyDescent="0.3">
      <c r="A139" s="9">
        <v>45556</v>
      </c>
      <c r="B139" s="3" t="s">
        <v>36</v>
      </c>
      <c r="C139" s="13">
        <v>100</v>
      </c>
      <c r="D139" s="3" t="s">
        <v>8</v>
      </c>
      <c r="E139" s="3" t="s">
        <v>7</v>
      </c>
      <c r="F139" s="10" t="str">
        <f t="shared" si="11"/>
        <v>Sep-2024</v>
      </c>
      <c r="G139" t="str">
        <f t="shared" si="8"/>
        <v>2024-09</v>
      </c>
      <c r="H139" s="10">
        <f>VLOOKUP(B139, Price_List!$A$3:$C$62, 2, FALSE)</f>
        <v>70</v>
      </c>
      <c r="I139" s="10">
        <f>VLOOKUP(B139, Price_List!$A$3:$C$62, 3, FALSE)</f>
        <v>140</v>
      </c>
      <c r="J139" s="10" t="str">
        <f t="shared" si="9"/>
        <v>Within Range</v>
      </c>
      <c r="K139" s="10">
        <f t="shared" si="10"/>
        <v>0</v>
      </c>
    </row>
    <row r="140" spans="1:11" ht="15.6" x14ac:dyDescent="0.3">
      <c r="A140" s="9">
        <v>45556</v>
      </c>
      <c r="B140" s="3" t="s">
        <v>14</v>
      </c>
      <c r="C140" s="13">
        <v>800</v>
      </c>
      <c r="D140" s="3" t="s">
        <v>8</v>
      </c>
      <c r="E140" s="3" t="s">
        <v>7</v>
      </c>
      <c r="F140" s="10" t="str">
        <f t="shared" si="11"/>
        <v>Sep-2024</v>
      </c>
      <c r="G140" t="str">
        <f t="shared" si="8"/>
        <v>2024-09</v>
      </c>
      <c r="H140" s="10">
        <f>VLOOKUP(B140, Price_List!$A$3:$C$62, 2, FALSE)</f>
        <v>800</v>
      </c>
      <c r="I140" s="10">
        <f>VLOOKUP(B140, Price_List!$A$3:$C$62, 3, FALSE)</f>
        <v>1000</v>
      </c>
      <c r="J140" s="10" t="str">
        <f t="shared" si="9"/>
        <v>Within Range</v>
      </c>
      <c r="K140" s="10">
        <f t="shared" si="10"/>
        <v>0</v>
      </c>
    </row>
    <row r="141" spans="1:11" ht="15.6" x14ac:dyDescent="0.3">
      <c r="A141" s="9">
        <v>45560</v>
      </c>
      <c r="B141" s="3" t="s">
        <v>5</v>
      </c>
      <c r="C141" s="13">
        <v>50</v>
      </c>
      <c r="D141" s="3" t="s">
        <v>6</v>
      </c>
      <c r="E141" s="3" t="s">
        <v>7</v>
      </c>
      <c r="F141" s="10" t="str">
        <f t="shared" si="11"/>
        <v>Sep-2024</v>
      </c>
      <c r="G141" t="str">
        <f t="shared" si="8"/>
        <v>2024-09</v>
      </c>
      <c r="H141" s="10">
        <f>VLOOKUP(B141, Price_List!$A$3:$C$62, 2, FALSE)</f>
        <v>60</v>
      </c>
      <c r="I141" s="10">
        <f>VLOOKUP(B141, Price_List!$A$3:$C$62, 3, FALSE)</f>
        <v>70</v>
      </c>
      <c r="J141" s="10" t="str">
        <f t="shared" si="9"/>
        <v>Below Min(Bargain)</v>
      </c>
      <c r="K141" s="10">
        <f t="shared" si="10"/>
        <v>10</v>
      </c>
    </row>
    <row r="142" spans="1:11" ht="15.6" x14ac:dyDescent="0.3">
      <c r="A142" s="9">
        <v>45561</v>
      </c>
      <c r="B142" s="15" t="s">
        <v>110</v>
      </c>
      <c r="C142" s="13">
        <v>870</v>
      </c>
      <c r="D142" s="3" t="s">
        <v>6</v>
      </c>
      <c r="E142" s="3" t="s">
        <v>7</v>
      </c>
      <c r="F142" s="10" t="str">
        <f t="shared" si="11"/>
        <v>Sep-2024</v>
      </c>
      <c r="G142" t="str">
        <f t="shared" si="8"/>
        <v>2024-09</v>
      </c>
      <c r="H142" s="10">
        <f>VLOOKUP(B142, Price_List!$A$3:$C$62, 2, FALSE)</f>
        <v>900</v>
      </c>
      <c r="I142" s="10">
        <f>VLOOKUP(B142, Price_List!$A$3:$C$62, 3, FALSE)</f>
        <v>900</v>
      </c>
      <c r="J142" s="10" t="str">
        <f t="shared" si="9"/>
        <v>Below Min(Bargain)</v>
      </c>
      <c r="K142" s="10">
        <f t="shared" si="10"/>
        <v>30</v>
      </c>
    </row>
    <row r="143" spans="1:11" ht="15.6" x14ac:dyDescent="0.3">
      <c r="A143" s="9">
        <v>45561</v>
      </c>
      <c r="B143" s="3" t="s">
        <v>5</v>
      </c>
      <c r="C143" s="13">
        <v>80</v>
      </c>
      <c r="D143" s="3" t="s">
        <v>8</v>
      </c>
      <c r="E143" s="3" t="s">
        <v>7</v>
      </c>
      <c r="F143" s="10" t="str">
        <f t="shared" si="11"/>
        <v>Sep-2024</v>
      </c>
      <c r="G143" t="str">
        <f t="shared" si="8"/>
        <v>2024-09</v>
      </c>
      <c r="H143" s="10">
        <f>VLOOKUP(B143, Price_List!$A$3:$C$62, 2, FALSE)</f>
        <v>60</v>
      </c>
      <c r="I143" s="10">
        <f>VLOOKUP(B143, Price_List!$A$3:$C$62, 3, FALSE)</f>
        <v>70</v>
      </c>
      <c r="J143" s="10" t="str">
        <f t="shared" si="9"/>
        <v>Above Max</v>
      </c>
      <c r="K143" s="10">
        <f t="shared" si="10"/>
        <v>0</v>
      </c>
    </row>
    <row r="144" spans="1:11" ht="15.6" x14ac:dyDescent="0.3">
      <c r="A144" s="9">
        <v>45561</v>
      </c>
      <c r="B144" s="3" t="s">
        <v>36</v>
      </c>
      <c r="C144" s="13">
        <v>100</v>
      </c>
      <c r="D144" s="3" t="s">
        <v>8</v>
      </c>
      <c r="E144" s="3" t="s">
        <v>7</v>
      </c>
      <c r="F144" s="10" t="str">
        <f t="shared" si="11"/>
        <v>Sep-2024</v>
      </c>
      <c r="G144" t="str">
        <f t="shared" si="8"/>
        <v>2024-09</v>
      </c>
      <c r="H144" s="10">
        <f>VLOOKUP(B144, Price_List!$A$3:$C$62, 2, FALSE)</f>
        <v>70</v>
      </c>
      <c r="I144" s="10">
        <f>VLOOKUP(B144, Price_List!$A$3:$C$62, 3, FALSE)</f>
        <v>140</v>
      </c>
      <c r="J144" s="10" t="str">
        <f t="shared" si="9"/>
        <v>Within Range</v>
      </c>
      <c r="K144" s="10">
        <f t="shared" si="10"/>
        <v>0</v>
      </c>
    </row>
    <row r="145" spans="1:11" ht="15.6" x14ac:dyDescent="0.3">
      <c r="A145" s="9">
        <v>45562</v>
      </c>
      <c r="B145" s="3" t="s">
        <v>18</v>
      </c>
      <c r="C145" s="13">
        <v>350</v>
      </c>
      <c r="D145" s="3" t="s">
        <v>8</v>
      </c>
      <c r="E145" s="3" t="s">
        <v>7</v>
      </c>
      <c r="F145" s="10" t="str">
        <f t="shared" si="11"/>
        <v>Sep-2024</v>
      </c>
      <c r="G145" t="str">
        <f t="shared" si="8"/>
        <v>2024-09</v>
      </c>
      <c r="H145" s="10">
        <f>VLOOKUP(B145, Price_List!$A$3:$C$62, 2, FALSE)</f>
        <v>700</v>
      </c>
      <c r="I145" s="10">
        <f>VLOOKUP(B145, Price_List!$A$3:$C$62, 3, FALSE)</f>
        <v>700</v>
      </c>
      <c r="J145" s="10" t="str">
        <f t="shared" si="9"/>
        <v>Below Min(Bargain)</v>
      </c>
      <c r="K145" s="10">
        <f t="shared" si="10"/>
        <v>350</v>
      </c>
    </row>
    <row r="146" spans="1:11" ht="15.6" x14ac:dyDescent="0.3">
      <c r="A146" s="9">
        <v>45565</v>
      </c>
      <c r="B146" s="3" t="s">
        <v>5</v>
      </c>
      <c r="C146" s="13">
        <v>50</v>
      </c>
      <c r="D146" s="3" t="s">
        <v>8</v>
      </c>
      <c r="E146" s="3" t="s">
        <v>7</v>
      </c>
      <c r="F146" s="10" t="str">
        <f t="shared" si="11"/>
        <v>Sep-2024</v>
      </c>
      <c r="G146" t="str">
        <f t="shared" si="8"/>
        <v>2024-09</v>
      </c>
      <c r="H146" s="10">
        <f>VLOOKUP(B146, Price_List!$A$3:$C$62, 2, FALSE)</f>
        <v>60</v>
      </c>
      <c r="I146" s="10">
        <f>VLOOKUP(B146, Price_List!$A$3:$C$62, 3, FALSE)</f>
        <v>70</v>
      </c>
      <c r="J146" s="10" t="str">
        <f t="shared" si="9"/>
        <v>Below Min(Bargain)</v>
      </c>
      <c r="K146" s="10">
        <f t="shared" si="10"/>
        <v>10</v>
      </c>
    </row>
    <row r="147" spans="1:11" ht="15.6" x14ac:dyDescent="0.3">
      <c r="A147" s="9">
        <v>45565</v>
      </c>
      <c r="B147" s="3" t="s">
        <v>22</v>
      </c>
      <c r="C147" s="13">
        <v>200</v>
      </c>
      <c r="D147" s="3" t="s">
        <v>6</v>
      </c>
      <c r="E147" s="3" t="s">
        <v>7</v>
      </c>
      <c r="F147" s="10" t="str">
        <f t="shared" si="11"/>
        <v>Sep-2024</v>
      </c>
      <c r="G147" t="str">
        <f t="shared" si="8"/>
        <v>2024-09</v>
      </c>
      <c r="H147" s="10">
        <f>VLOOKUP(B147, Price_List!$A$3:$C$62, 2, FALSE)</f>
        <v>250</v>
      </c>
      <c r="I147" s="10">
        <f>VLOOKUP(B147, Price_List!$A$3:$C$62, 3, FALSE)</f>
        <v>250</v>
      </c>
      <c r="J147" s="10" t="str">
        <f t="shared" si="9"/>
        <v>Below Min(Bargain)</v>
      </c>
      <c r="K147" s="10">
        <f t="shared" si="10"/>
        <v>50</v>
      </c>
    </row>
    <row r="148" spans="1:11" ht="15.6" x14ac:dyDescent="0.3">
      <c r="A148" s="9">
        <v>45566</v>
      </c>
      <c r="B148" s="3" t="s">
        <v>18</v>
      </c>
      <c r="C148" s="13">
        <v>400</v>
      </c>
      <c r="D148" s="3" t="s">
        <v>8</v>
      </c>
      <c r="E148" s="3" t="s">
        <v>7</v>
      </c>
      <c r="F148" s="10" t="str">
        <f t="shared" si="11"/>
        <v>Oct-2024</v>
      </c>
      <c r="G148" t="str">
        <f t="shared" si="8"/>
        <v>2024-10</v>
      </c>
      <c r="H148" s="10">
        <f>VLOOKUP(B148, Price_List!$A$3:$C$62, 2, FALSE)</f>
        <v>700</v>
      </c>
      <c r="I148" s="10">
        <f>VLOOKUP(B148, Price_List!$A$3:$C$62, 3, FALSE)</f>
        <v>700</v>
      </c>
      <c r="J148" s="10" t="str">
        <f t="shared" si="9"/>
        <v>Below Min(Bargain)</v>
      </c>
      <c r="K148" s="10">
        <f t="shared" si="10"/>
        <v>300</v>
      </c>
    </row>
    <row r="149" spans="1:11" ht="15.6" x14ac:dyDescent="0.3">
      <c r="A149" s="9">
        <v>45566</v>
      </c>
      <c r="B149" s="3" t="s">
        <v>5</v>
      </c>
      <c r="C149" s="13">
        <v>150</v>
      </c>
      <c r="D149" s="3" t="s">
        <v>8</v>
      </c>
      <c r="E149" s="3" t="s">
        <v>7</v>
      </c>
      <c r="F149" s="10" t="str">
        <f t="shared" si="11"/>
        <v>Oct-2024</v>
      </c>
      <c r="G149" t="str">
        <f t="shared" si="8"/>
        <v>2024-10</v>
      </c>
      <c r="H149" s="10">
        <f>VLOOKUP(B149, Price_List!$A$3:$C$62, 2, FALSE)</f>
        <v>60</v>
      </c>
      <c r="I149" s="10">
        <f>VLOOKUP(B149, Price_List!$A$3:$C$62, 3, FALSE)</f>
        <v>70</v>
      </c>
      <c r="J149" s="10" t="str">
        <f t="shared" si="9"/>
        <v>Above Max</v>
      </c>
      <c r="K149" s="10">
        <f t="shared" si="10"/>
        <v>0</v>
      </c>
    </row>
    <row r="150" spans="1:11" ht="15.6" x14ac:dyDescent="0.3">
      <c r="A150" s="9">
        <v>45566</v>
      </c>
      <c r="B150" s="3" t="s">
        <v>57</v>
      </c>
      <c r="C150" s="13">
        <v>500</v>
      </c>
      <c r="D150" s="3" t="s">
        <v>8</v>
      </c>
      <c r="E150" s="3" t="s">
        <v>7</v>
      </c>
      <c r="F150" s="10" t="str">
        <f t="shared" si="11"/>
        <v>Oct-2024</v>
      </c>
      <c r="G150" t="str">
        <f t="shared" si="8"/>
        <v>2024-10</v>
      </c>
      <c r="H150" s="10">
        <f>VLOOKUP(B150, Price_List!$A$3:$C$62, 2, FALSE)</f>
        <v>600</v>
      </c>
      <c r="I150" s="10">
        <f>VLOOKUP(B150, Price_List!$A$3:$C$62, 3, FALSE)</f>
        <v>600</v>
      </c>
      <c r="J150" s="10" t="str">
        <f t="shared" si="9"/>
        <v>Below Min(Bargain)</v>
      </c>
      <c r="K150" s="10">
        <f t="shared" si="10"/>
        <v>100</v>
      </c>
    </row>
    <row r="151" spans="1:11" ht="15.6" x14ac:dyDescent="0.3">
      <c r="A151" s="9">
        <v>45567</v>
      </c>
      <c r="B151" s="3" t="s">
        <v>5</v>
      </c>
      <c r="C151" s="13">
        <v>50</v>
      </c>
      <c r="D151" s="3" t="s">
        <v>8</v>
      </c>
      <c r="E151" s="3" t="s">
        <v>7</v>
      </c>
      <c r="F151" s="10" t="str">
        <f t="shared" si="11"/>
        <v>Oct-2024</v>
      </c>
      <c r="G151" t="str">
        <f t="shared" si="8"/>
        <v>2024-10</v>
      </c>
      <c r="H151" s="10">
        <f>VLOOKUP(B151, Price_List!$A$3:$C$62, 2, FALSE)</f>
        <v>60</v>
      </c>
      <c r="I151" s="10">
        <f>VLOOKUP(B151, Price_List!$A$3:$C$62, 3, FALSE)</f>
        <v>70</v>
      </c>
      <c r="J151" s="10" t="str">
        <f t="shared" si="9"/>
        <v>Below Min(Bargain)</v>
      </c>
      <c r="K151" s="10">
        <f t="shared" si="10"/>
        <v>10</v>
      </c>
    </row>
    <row r="152" spans="1:11" ht="15.6" x14ac:dyDescent="0.3">
      <c r="A152" s="9">
        <v>45568</v>
      </c>
      <c r="B152" s="3" t="s">
        <v>5</v>
      </c>
      <c r="C152" s="13">
        <v>200</v>
      </c>
      <c r="D152" s="3" t="s">
        <v>8</v>
      </c>
      <c r="E152" s="3" t="s">
        <v>7</v>
      </c>
      <c r="F152" s="10" t="str">
        <f t="shared" si="11"/>
        <v>Oct-2024</v>
      </c>
      <c r="G152" t="str">
        <f t="shared" si="8"/>
        <v>2024-10</v>
      </c>
      <c r="H152" s="10">
        <f>VLOOKUP(B152, Price_List!$A$3:$C$62, 2, FALSE)</f>
        <v>60</v>
      </c>
      <c r="I152" s="10">
        <f>VLOOKUP(B152, Price_List!$A$3:$C$62, 3, FALSE)</f>
        <v>70</v>
      </c>
      <c r="J152" s="10" t="str">
        <f t="shared" si="9"/>
        <v>Above Max</v>
      </c>
      <c r="K152" s="10">
        <f t="shared" si="10"/>
        <v>0</v>
      </c>
    </row>
    <row r="153" spans="1:11" ht="15.6" x14ac:dyDescent="0.3">
      <c r="A153" s="9">
        <v>45569</v>
      </c>
      <c r="B153" s="3" t="s">
        <v>5</v>
      </c>
      <c r="C153" s="13">
        <v>100</v>
      </c>
      <c r="D153" s="3" t="s">
        <v>6</v>
      </c>
      <c r="E153" s="3" t="s">
        <v>7</v>
      </c>
      <c r="F153" s="10" t="str">
        <f t="shared" si="11"/>
        <v>Oct-2024</v>
      </c>
      <c r="G153" t="str">
        <f t="shared" si="8"/>
        <v>2024-10</v>
      </c>
      <c r="H153" s="10">
        <f>VLOOKUP(B153, Price_List!$A$3:$C$62, 2, FALSE)</f>
        <v>60</v>
      </c>
      <c r="I153" s="10">
        <f>VLOOKUP(B153, Price_List!$A$3:$C$62, 3, FALSE)</f>
        <v>70</v>
      </c>
      <c r="J153" s="10" t="str">
        <f t="shared" si="9"/>
        <v>Above Max</v>
      </c>
      <c r="K153" s="10">
        <f t="shared" si="10"/>
        <v>0</v>
      </c>
    </row>
    <row r="154" spans="1:11" ht="15.6" x14ac:dyDescent="0.3">
      <c r="A154" s="9">
        <v>45569</v>
      </c>
      <c r="B154" s="3" t="s">
        <v>14</v>
      </c>
      <c r="C154" s="13">
        <v>750</v>
      </c>
      <c r="D154" s="3" t="s">
        <v>6</v>
      </c>
      <c r="E154" s="3" t="s">
        <v>7</v>
      </c>
      <c r="F154" s="10" t="str">
        <f t="shared" si="11"/>
        <v>Oct-2024</v>
      </c>
      <c r="G154" t="str">
        <f t="shared" si="8"/>
        <v>2024-10</v>
      </c>
      <c r="H154" s="10">
        <f>VLOOKUP(B154, Price_List!$A$3:$C$62, 2, FALSE)</f>
        <v>800</v>
      </c>
      <c r="I154" s="10">
        <f>VLOOKUP(B154, Price_List!$A$3:$C$62, 3, FALSE)</f>
        <v>1000</v>
      </c>
      <c r="J154" s="10" t="str">
        <f t="shared" si="9"/>
        <v>Below Min(Bargain)</v>
      </c>
      <c r="K154" s="10">
        <f t="shared" si="10"/>
        <v>50</v>
      </c>
    </row>
    <row r="155" spans="1:11" ht="15.6" x14ac:dyDescent="0.3">
      <c r="A155" s="9">
        <v>45569</v>
      </c>
      <c r="B155" s="3" t="s">
        <v>5</v>
      </c>
      <c r="C155" s="13">
        <v>50</v>
      </c>
      <c r="D155" s="3" t="s">
        <v>8</v>
      </c>
      <c r="E155" s="3" t="s">
        <v>7</v>
      </c>
      <c r="F155" s="10" t="str">
        <f t="shared" si="11"/>
        <v>Oct-2024</v>
      </c>
      <c r="G155" t="str">
        <f t="shared" si="8"/>
        <v>2024-10</v>
      </c>
      <c r="H155" s="10">
        <f>VLOOKUP(B155, Price_List!$A$3:$C$62, 2, FALSE)</f>
        <v>60</v>
      </c>
      <c r="I155" s="10">
        <f>VLOOKUP(B155, Price_List!$A$3:$C$62, 3, FALSE)</f>
        <v>70</v>
      </c>
      <c r="J155" s="10" t="str">
        <f t="shared" si="9"/>
        <v>Below Min(Bargain)</v>
      </c>
      <c r="K155" s="10">
        <f t="shared" si="10"/>
        <v>10</v>
      </c>
    </row>
    <row r="156" spans="1:11" ht="15.6" x14ac:dyDescent="0.3">
      <c r="A156" s="9">
        <v>45570</v>
      </c>
      <c r="B156" s="3" t="s">
        <v>5</v>
      </c>
      <c r="C156" s="13">
        <v>50</v>
      </c>
      <c r="D156" s="3" t="s">
        <v>8</v>
      </c>
      <c r="E156" s="3" t="s">
        <v>7</v>
      </c>
      <c r="F156" s="10" t="str">
        <f t="shared" si="11"/>
        <v>Oct-2024</v>
      </c>
      <c r="G156" t="str">
        <f t="shared" si="8"/>
        <v>2024-10</v>
      </c>
      <c r="H156" s="10">
        <f>VLOOKUP(B156, Price_List!$A$3:$C$62, 2, FALSE)</f>
        <v>60</v>
      </c>
      <c r="I156" s="10">
        <f>VLOOKUP(B156, Price_List!$A$3:$C$62, 3, FALSE)</f>
        <v>70</v>
      </c>
      <c r="J156" s="10" t="str">
        <f t="shared" si="9"/>
        <v>Below Min(Bargain)</v>
      </c>
      <c r="K156" s="10">
        <f t="shared" si="10"/>
        <v>10</v>
      </c>
    </row>
    <row r="157" spans="1:11" ht="15.6" x14ac:dyDescent="0.3">
      <c r="A157" s="9">
        <v>45570</v>
      </c>
      <c r="B157" s="3" t="s">
        <v>5</v>
      </c>
      <c r="C157" s="13">
        <v>120</v>
      </c>
      <c r="D157" s="3" t="s">
        <v>8</v>
      </c>
      <c r="E157" s="3" t="s">
        <v>7</v>
      </c>
      <c r="F157" s="10" t="str">
        <f t="shared" si="11"/>
        <v>Oct-2024</v>
      </c>
      <c r="G157" t="str">
        <f t="shared" si="8"/>
        <v>2024-10</v>
      </c>
      <c r="H157" s="10">
        <f>VLOOKUP(B157, Price_List!$A$3:$C$62, 2, FALSE)</f>
        <v>60</v>
      </c>
      <c r="I157" s="10">
        <f>VLOOKUP(B157, Price_List!$A$3:$C$62, 3, FALSE)</f>
        <v>70</v>
      </c>
      <c r="J157" s="10" t="str">
        <f t="shared" si="9"/>
        <v>Above Max</v>
      </c>
      <c r="K157" s="10">
        <f t="shared" si="10"/>
        <v>0</v>
      </c>
    </row>
    <row r="158" spans="1:11" ht="15.6" x14ac:dyDescent="0.3">
      <c r="A158" s="9">
        <v>45572</v>
      </c>
      <c r="B158" s="3" t="s">
        <v>36</v>
      </c>
      <c r="C158" s="13">
        <v>270</v>
      </c>
      <c r="D158" s="3" t="s">
        <v>8</v>
      </c>
      <c r="E158" s="3" t="s">
        <v>7</v>
      </c>
      <c r="F158" s="10" t="str">
        <f t="shared" si="11"/>
        <v>Oct-2024</v>
      </c>
      <c r="G158" t="str">
        <f t="shared" si="8"/>
        <v>2024-10</v>
      </c>
      <c r="H158" s="10">
        <f>VLOOKUP(B158, Price_List!$A$3:$C$62, 2, FALSE)</f>
        <v>70</v>
      </c>
      <c r="I158" s="10">
        <f>VLOOKUP(B158, Price_List!$A$3:$C$62, 3, FALSE)</f>
        <v>140</v>
      </c>
      <c r="J158" s="10" t="str">
        <f t="shared" si="9"/>
        <v>Above Max</v>
      </c>
      <c r="K158" s="10">
        <f t="shared" si="10"/>
        <v>0</v>
      </c>
    </row>
    <row r="159" spans="1:11" ht="15.6" x14ac:dyDescent="0.3">
      <c r="A159" s="9">
        <v>45572</v>
      </c>
      <c r="B159" s="3" t="s">
        <v>11</v>
      </c>
      <c r="C159" s="13">
        <v>700</v>
      </c>
      <c r="D159" s="3" t="s">
        <v>8</v>
      </c>
      <c r="E159" s="3" t="s">
        <v>7</v>
      </c>
      <c r="F159" s="10" t="str">
        <f t="shared" si="11"/>
        <v>Oct-2024</v>
      </c>
      <c r="G159" t="str">
        <f t="shared" si="8"/>
        <v>2024-10</v>
      </c>
      <c r="H159" s="10">
        <f>VLOOKUP(B159, Price_List!$A$3:$C$62, 2, FALSE)</f>
        <v>350</v>
      </c>
      <c r="I159" s="10">
        <f>VLOOKUP(B159, Price_List!$A$3:$C$62, 3, FALSE)</f>
        <v>700</v>
      </c>
      <c r="J159" s="10" t="str">
        <f t="shared" si="9"/>
        <v>Within Range</v>
      </c>
      <c r="K159" s="10">
        <f t="shared" si="10"/>
        <v>0</v>
      </c>
    </row>
    <row r="160" spans="1:11" ht="15.6" x14ac:dyDescent="0.3">
      <c r="A160" s="9">
        <v>45573</v>
      </c>
      <c r="B160" s="3" t="s">
        <v>5</v>
      </c>
      <c r="C160" s="13">
        <v>50</v>
      </c>
      <c r="D160" s="3" t="s">
        <v>8</v>
      </c>
      <c r="E160" s="3" t="s">
        <v>7</v>
      </c>
      <c r="F160" s="10" t="str">
        <f t="shared" si="11"/>
        <v>Oct-2024</v>
      </c>
      <c r="G160" t="str">
        <f t="shared" si="8"/>
        <v>2024-10</v>
      </c>
      <c r="H160" s="10">
        <f>VLOOKUP(B160, Price_List!$A$3:$C$62, 2, FALSE)</f>
        <v>60</v>
      </c>
      <c r="I160" s="10">
        <f>VLOOKUP(B160, Price_List!$A$3:$C$62, 3, FALSE)</f>
        <v>70</v>
      </c>
      <c r="J160" s="10" t="str">
        <f t="shared" si="9"/>
        <v>Below Min(Bargain)</v>
      </c>
      <c r="K160" s="10">
        <f t="shared" si="10"/>
        <v>10</v>
      </c>
    </row>
    <row r="161" spans="1:11" ht="15.6" x14ac:dyDescent="0.3">
      <c r="A161" s="9">
        <v>45574</v>
      </c>
      <c r="B161" s="3" t="s">
        <v>29</v>
      </c>
      <c r="C161" s="13">
        <v>500</v>
      </c>
      <c r="D161" s="3" t="s">
        <v>8</v>
      </c>
      <c r="E161" s="3" t="s">
        <v>7</v>
      </c>
      <c r="F161" s="10" t="str">
        <f t="shared" si="11"/>
        <v>Oct-2024</v>
      </c>
      <c r="G161" t="str">
        <f t="shared" si="8"/>
        <v>2024-10</v>
      </c>
      <c r="H161" s="10">
        <f>VLOOKUP(B161, Price_List!$A$3:$C$62, 2, FALSE)</f>
        <v>400</v>
      </c>
      <c r="I161" s="10">
        <f>VLOOKUP(B161, Price_List!$A$3:$C$62, 3, FALSE)</f>
        <v>400</v>
      </c>
      <c r="J161" s="10" t="str">
        <f t="shared" si="9"/>
        <v>Above Max</v>
      </c>
      <c r="K161" s="10">
        <f t="shared" si="10"/>
        <v>0</v>
      </c>
    </row>
    <row r="162" spans="1:11" ht="15.6" x14ac:dyDescent="0.3">
      <c r="A162" s="9">
        <v>45574</v>
      </c>
      <c r="B162" s="3" t="s">
        <v>5</v>
      </c>
      <c r="C162" s="13">
        <v>150</v>
      </c>
      <c r="D162" s="3" t="s">
        <v>8</v>
      </c>
      <c r="E162" s="3" t="s">
        <v>7</v>
      </c>
      <c r="F162" s="10" t="str">
        <f t="shared" si="11"/>
        <v>Oct-2024</v>
      </c>
      <c r="G162" t="str">
        <f t="shared" si="8"/>
        <v>2024-10</v>
      </c>
      <c r="H162" s="10">
        <f>VLOOKUP(B162, Price_List!$A$3:$C$62, 2, FALSE)</f>
        <v>60</v>
      </c>
      <c r="I162" s="10">
        <f>VLOOKUP(B162, Price_List!$A$3:$C$62, 3, FALSE)</f>
        <v>70</v>
      </c>
      <c r="J162" s="10" t="str">
        <f t="shared" si="9"/>
        <v>Above Max</v>
      </c>
      <c r="K162" s="10">
        <f t="shared" si="10"/>
        <v>0</v>
      </c>
    </row>
    <row r="163" spans="1:11" ht="15.6" x14ac:dyDescent="0.3">
      <c r="A163" s="9">
        <v>45575</v>
      </c>
      <c r="B163" s="3" t="s">
        <v>14</v>
      </c>
      <c r="C163" s="13">
        <v>800</v>
      </c>
      <c r="D163" s="3" t="s">
        <v>8</v>
      </c>
      <c r="E163" s="3" t="s">
        <v>7</v>
      </c>
      <c r="F163" s="10" t="str">
        <f t="shared" si="11"/>
        <v>Oct-2024</v>
      </c>
      <c r="G163" t="str">
        <f t="shared" si="8"/>
        <v>2024-10</v>
      </c>
      <c r="H163" s="10">
        <f>VLOOKUP(B163, Price_List!$A$3:$C$62, 2, FALSE)</f>
        <v>800</v>
      </c>
      <c r="I163" s="10">
        <f>VLOOKUP(B163, Price_List!$A$3:$C$62, 3, FALSE)</f>
        <v>1000</v>
      </c>
      <c r="J163" s="10" t="str">
        <f t="shared" si="9"/>
        <v>Within Range</v>
      </c>
      <c r="K163" s="10">
        <f t="shared" si="10"/>
        <v>0</v>
      </c>
    </row>
    <row r="164" spans="1:11" ht="15.6" x14ac:dyDescent="0.3">
      <c r="A164" s="9">
        <v>45575</v>
      </c>
      <c r="B164" s="3" t="s">
        <v>36</v>
      </c>
      <c r="C164" s="13">
        <v>50</v>
      </c>
      <c r="D164" s="3" t="s">
        <v>8</v>
      </c>
      <c r="E164" s="3" t="s">
        <v>7</v>
      </c>
      <c r="F164" s="10" t="str">
        <f t="shared" si="11"/>
        <v>Oct-2024</v>
      </c>
      <c r="G164" t="str">
        <f t="shared" si="8"/>
        <v>2024-10</v>
      </c>
      <c r="H164" s="10">
        <f>VLOOKUP(B164, Price_List!$A$3:$C$62, 2, FALSE)</f>
        <v>70</v>
      </c>
      <c r="I164" s="10">
        <f>VLOOKUP(B164, Price_List!$A$3:$C$62, 3, FALSE)</f>
        <v>140</v>
      </c>
      <c r="J164" s="10" t="str">
        <f t="shared" si="9"/>
        <v>Below Min(Bargain)</v>
      </c>
      <c r="K164" s="10">
        <f t="shared" si="10"/>
        <v>20</v>
      </c>
    </row>
    <row r="165" spans="1:11" ht="15.6" x14ac:dyDescent="0.3">
      <c r="A165" s="9">
        <v>45576</v>
      </c>
      <c r="B165" s="3" t="s">
        <v>14</v>
      </c>
      <c r="C165" s="13">
        <v>650</v>
      </c>
      <c r="D165" s="3" t="s">
        <v>8</v>
      </c>
      <c r="E165" s="3" t="s">
        <v>7</v>
      </c>
      <c r="F165" s="10" t="str">
        <f t="shared" si="11"/>
        <v>Oct-2024</v>
      </c>
      <c r="G165" t="str">
        <f t="shared" si="8"/>
        <v>2024-10</v>
      </c>
      <c r="H165" s="10">
        <f>VLOOKUP(B165, Price_List!$A$3:$C$62, 2, FALSE)</f>
        <v>800</v>
      </c>
      <c r="I165" s="10">
        <f>VLOOKUP(B165, Price_List!$A$3:$C$62, 3, FALSE)</f>
        <v>1000</v>
      </c>
      <c r="J165" s="10" t="str">
        <f t="shared" si="9"/>
        <v>Below Min(Bargain)</v>
      </c>
      <c r="K165" s="10">
        <f t="shared" si="10"/>
        <v>150</v>
      </c>
    </row>
    <row r="166" spans="1:11" ht="15.6" x14ac:dyDescent="0.3">
      <c r="A166" s="9">
        <v>45577</v>
      </c>
      <c r="B166" s="15" t="s">
        <v>104</v>
      </c>
      <c r="C166" s="13">
        <v>400</v>
      </c>
      <c r="D166" s="3" t="s">
        <v>8</v>
      </c>
      <c r="E166" s="3" t="s">
        <v>7</v>
      </c>
      <c r="F166" s="10" t="str">
        <f t="shared" si="11"/>
        <v>Oct-2024</v>
      </c>
      <c r="G166" t="str">
        <f t="shared" si="8"/>
        <v>2024-10</v>
      </c>
      <c r="H166" s="10">
        <f>VLOOKUP(B166, Price_List!$A$3:$C$62, 2, FALSE)</f>
        <v>500</v>
      </c>
      <c r="I166" s="10">
        <f>VLOOKUP(B166, Price_List!$A$3:$C$62, 3, FALSE)</f>
        <v>500</v>
      </c>
      <c r="J166" s="10" t="str">
        <f t="shared" si="9"/>
        <v>Below Min(Bargain)</v>
      </c>
      <c r="K166" s="10">
        <f t="shared" si="10"/>
        <v>100</v>
      </c>
    </row>
    <row r="167" spans="1:11" ht="15.6" x14ac:dyDescent="0.3">
      <c r="A167" s="9">
        <v>45580</v>
      </c>
      <c r="B167" s="3" t="s">
        <v>36</v>
      </c>
      <c r="C167" s="13">
        <v>100</v>
      </c>
      <c r="D167" s="3" t="s">
        <v>8</v>
      </c>
      <c r="E167" s="3" t="s">
        <v>7</v>
      </c>
      <c r="F167" s="10" t="str">
        <f t="shared" si="11"/>
        <v>Oct-2024</v>
      </c>
      <c r="G167" t="str">
        <f t="shared" si="8"/>
        <v>2024-10</v>
      </c>
      <c r="H167" s="10">
        <f>VLOOKUP(B167, Price_List!$A$3:$C$62, 2, FALSE)</f>
        <v>70</v>
      </c>
      <c r="I167" s="10">
        <f>VLOOKUP(B167, Price_List!$A$3:$C$62, 3, FALSE)</f>
        <v>140</v>
      </c>
      <c r="J167" s="10" t="str">
        <f t="shared" si="9"/>
        <v>Within Range</v>
      </c>
      <c r="K167" s="10">
        <f t="shared" si="10"/>
        <v>0</v>
      </c>
    </row>
    <row r="168" spans="1:11" ht="15.6" x14ac:dyDescent="0.3">
      <c r="A168" s="9">
        <v>45580</v>
      </c>
      <c r="B168" s="15" t="s">
        <v>115</v>
      </c>
      <c r="C168" s="13">
        <v>800</v>
      </c>
      <c r="D168" s="3" t="s">
        <v>8</v>
      </c>
      <c r="E168" s="3" t="s">
        <v>7</v>
      </c>
      <c r="F168" s="10" t="str">
        <f t="shared" si="11"/>
        <v>Oct-2024</v>
      </c>
      <c r="G168" t="str">
        <f t="shared" si="8"/>
        <v>2024-10</v>
      </c>
      <c r="H168" s="10">
        <f>VLOOKUP(B168, Price_List!$A$3:$C$62, 2, FALSE)</f>
        <v>850</v>
      </c>
      <c r="I168" s="10">
        <f>VLOOKUP(B168, Price_List!$A$3:$C$62, 3, FALSE)</f>
        <v>850</v>
      </c>
      <c r="J168" s="10" t="str">
        <f t="shared" si="9"/>
        <v>Below Min(Bargain)</v>
      </c>
      <c r="K168" s="10">
        <f t="shared" si="10"/>
        <v>50</v>
      </c>
    </row>
    <row r="169" spans="1:11" ht="15.6" x14ac:dyDescent="0.3">
      <c r="A169" s="9">
        <v>45580</v>
      </c>
      <c r="B169" s="15" t="s">
        <v>115</v>
      </c>
      <c r="C169" s="13">
        <v>800</v>
      </c>
      <c r="D169" s="3" t="s">
        <v>8</v>
      </c>
      <c r="E169" s="3" t="s">
        <v>7</v>
      </c>
      <c r="F169" s="10" t="str">
        <f t="shared" si="11"/>
        <v>Oct-2024</v>
      </c>
      <c r="G169" t="str">
        <f t="shared" si="8"/>
        <v>2024-10</v>
      </c>
      <c r="H169" s="10">
        <f>VLOOKUP(B169, Price_List!$A$3:$C$62, 2, FALSE)</f>
        <v>850</v>
      </c>
      <c r="I169" s="10">
        <f>VLOOKUP(B169, Price_List!$A$3:$C$62, 3, FALSE)</f>
        <v>850</v>
      </c>
      <c r="J169" s="10" t="str">
        <f t="shared" si="9"/>
        <v>Below Min(Bargain)</v>
      </c>
      <c r="K169" s="10">
        <f t="shared" si="10"/>
        <v>50</v>
      </c>
    </row>
    <row r="170" spans="1:11" ht="15.6" x14ac:dyDescent="0.3">
      <c r="A170" s="9">
        <v>45580</v>
      </c>
      <c r="B170" s="15" t="s">
        <v>115</v>
      </c>
      <c r="C170" s="13">
        <v>800</v>
      </c>
      <c r="D170" s="3" t="s">
        <v>8</v>
      </c>
      <c r="E170" s="3" t="s">
        <v>7</v>
      </c>
      <c r="F170" s="10" t="str">
        <f t="shared" si="11"/>
        <v>Oct-2024</v>
      </c>
      <c r="G170" t="str">
        <f t="shared" si="8"/>
        <v>2024-10</v>
      </c>
      <c r="H170" s="10">
        <f>VLOOKUP(B170, Price_List!$A$3:$C$62, 2, FALSE)</f>
        <v>850</v>
      </c>
      <c r="I170" s="10">
        <f>VLOOKUP(B170, Price_List!$A$3:$C$62, 3, FALSE)</f>
        <v>850</v>
      </c>
      <c r="J170" s="10" t="str">
        <f t="shared" si="9"/>
        <v>Below Min(Bargain)</v>
      </c>
      <c r="K170" s="10">
        <f t="shared" si="10"/>
        <v>50</v>
      </c>
    </row>
    <row r="171" spans="1:11" ht="15.6" x14ac:dyDescent="0.3">
      <c r="A171" s="9">
        <v>45580</v>
      </c>
      <c r="B171" s="15" t="s">
        <v>115</v>
      </c>
      <c r="C171" s="13">
        <v>800</v>
      </c>
      <c r="D171" s="3" t="s">
        <v>8</v>
      </c>
      <c r="E171" s="3" t="s">
        <v>7</v>
      </c>
      <c r="F171" s="10" t="str">
        <f t="shared" si="11"/>
        <v>Oct-2024</v>
      </c>
      <c r="G171" t="str">
        <f t="shared" si="8"/>
        <v>2024-10</v>
      </c>
      <c r="H171" s="10">
        <f>VLOOKUP(B171, Price_List!$A$3:$C$62, 2, FALSE)</f>
        <v>850</v>
      </c>
      <c r="I171" s="10">
        <f>VLOOKUP(B171, Price_List!$A$3:$C$62, 3, FALSE)</f>
        <v>850</v>
      </c>
      <c r="J171" s="10" t="str">
        <f t="shared" si="9"/>
        <v>Below Min(Bargain)</v>
      </c>
      <c r="K171" s="10">
        <f t="shared" si="10"/>
        <v>50</v>
      </c>
    </row>
    <row r="172" spans="1:11" ht="15.6" x14ac:dyDescent="0.3">
      <c r="A172" s="9">
        <v>45583</v>
      </c>
      <c r="B172" s="3" t="s">
        <v>5</v>
      </c>
      <c r="C172" s="13">
        <v>90</v>
      </c>
      <c r="D172" s="3" t="s">
        <v>8</v>
      </c>
      <c r="E172" s="3" t="s">
        <v>7</v>
      </c>
      <c r="F172" s="10" t="str">
        <f t="shared" si="11"/>
        <v>Oct-2024</v>
      </c>
      <c r="G172" t="str">
        <f t="shared" si="8"/>
        <v>2024-10</v>
      </c>
      <c r="H172" s="10">
        <f>VLOOKUP(B172, Price_List!$A$3:$C$62, 2, FALSE)</f>
        <v>60</v>
      </c>
      <c r="I172" s="10">
        <f>VLOOKUP(B172, Price_List!$A$3:$C$62, 3, FALSE)</f>
        <v>70</v>
      </c>
      <c r="J172" s="10" t="str">
        <f t="shared" si="9"/>
        <v>Above Max</v>
      </c>
      <c r="K172" s="10">
        <f t="shared" si="10"/>
        <v>0</v>
      </c>
    </row>
    <row r="173" spans="1:11" ht="15.6" x14ac:dyDescent="0.3">
      <c r="A173" s="9">
        <v>45584</v>
      </c>
      <c r="B173" s="3" t="s">
        <v>5</v>
      </c>
      <c r="C173" s="13">
        <v>50</v>
      </c>
      <c r="D173" s="3" t="s">
        <v>8</v>
      </c>
      <c r="E173" s="3" t="s">
        <v>7</v>
      </c>
      <c r="F173" s="10" t="str">
        <f t="shared" si="11"/>
        <v>Oct-2024</v>
      </c>
      <c r="G173" t="str">
        <f t="shared" si="8"/>
        <v>2024-10</v>
      </c>
      <c r="H173" s="10">
        <f>VLOOKUP(B173, Price_List!$A$3:$C$62, 2, FALSE)</f>
        <v>60</v>
      </c>
      <c r="I173" s="10">
        <f>VLOOKUP(B173, Price_List!$A$3:$C$62, 3, FALSE)</f>
        <v>70</v>
      </c>
      <c r="J173" s="10" t="str">
        <f t="shared" si="9"/>
        <v>Below Min(Bargain)</v>
      </c>
      <c r="K173" s="10">
        <f t="shared" si="10"/>
        <v>10</v>
      </c>
    </row>
    <row r="174" spans="1:11" ht="15.6" x14ac:dyDescent="0.3">
      <c r="A174" s="9">
        <v>45584</v>
      </c>
      <c r="B174" s="3" t="s">
        <v>41</v>
      </c>
      <c r="C174" s="13">
        <v>2000</v>
      </c>
      <c r="D174" s="3" t="s">
        <v>6</v>
      </c>
      <c r="E174" s="3" t="s">
        <v>7</v>
      </c>
      <c r="F174" s="10" t="str">
        <f t="shared" si="11"/>
        <v>Oct-2024</v>
      </c>
      <c r="G174" t="str">
        <f t="shared" si="8"/>
        <v>2024-10</v>
      </c>
      <c r="H174" s="10">
        <f>VLOOKUP(B174, Price_List!$A$3:$C$62, 2, FALSE)</f>
        <v>1500</v>
      </c>
      <c r="I174" s="10">
        <f>VLOOKUP(B174, Price_List!$A$3:$C$62, 3, FALSE)</f>
        <v>2000</v>
      </c>
      <c r="J174" s="10" t="str">
        <f t="shared" si="9"/>
        <v>Within Range</v>
      </c>
      <c r="K174" s="10">
        <f t="shared" si="10"/>
        <v>0</v>
      </c>
    </row>
    <row r="175" spans="1:11" ht="15.6" x14ac:dyDescent="0.3">
      <c r="A175" s="9">
        <v>45586</v>
      </c>
      <c r="B175" s="3" t="s">
        <v>42</v>
      </c>
      <c r="C175" s="13">
        <v>7000</v>
      </c>
      <c r="D175" s="3" t="s">
        <v>8</v>
      </c>
      <c r="E175" s="3" t="s">
        <v>7</v>
      </c>
      <c r="F175" s="10" t="str">
        <f t="shared" si="11"/>
        <v>Oct-2024</v>
      </c>
      <c r="G175" t="str">
        <f t="shared" si="8"/>
        <v>2024-10</v>
      </c>
      <c r="H175" s="10">
        <f>VLOOKUP(B175, Price_List!$A$3:$C$62, 2, FALSE)</f>
        <v>5000</v>
      </c>
      <c r="I175" s="10">
        <f>VLOOKUP(B175, Price_List!$A$3:$C$62, 3, FALSE)</f>
        <v>12000</v>
      </c>
      <c r="J175" s="10" t="str">
        <f t="shared" si="9"/>
        <v>Within Range</v>
      </c>
      <c r="K175" s="10">
        <f t="shared" si="10"/>
        <v>0</v>
      </c>
    </row>
    <row r="176" spans="1:11" ht="15.6" x14ac:dyDescent="0.3">
      <c r="A176" s="9">
        <v>45588</v>
      </c>
      <c r="B176" s="3" t="s">
        <v>11</v>
      </c>
      <c r="C176" s="13">
        <v>750</v>
      </c>
      <c r="D176" s="3" t="s">
        <v>6</v>
      </c>
      <c r="E176" s="3" t="s">
        <v>7</v>
      </c>
      <c r="F176" s="10" t="str">
        <f t="shared" si="11"/>
        <v>Oct-2024</v>
      </c>
      <c r="G176" t="str">
        <f t="shared" si="8"/>
        <v>2024-10</v>
      </c>
      <c r="H176" s="10">
        <f>VLOOKUP(B176, Price_List!$A$3:$C$62, 2, FALSE)</f>
        <v>350</v>
      </c>
      <c r="I176" s="10">
        <f>VLOOKUP(B176, Price_List!$A$3:$C$62, 3, FALSE)</f>
        <v>700</v>
      </c>
      <c r="J176" s="10" t="str">
        <f t="shared" si="9"/>
        <v>Above Max</v>
      </c>
      <c r="K176" s="10">
        <f t="shared" si="10"/>
        <v>0</v>
      </c>
    </row>
    <row r="177" spans="1:11" ht="15.6" x14ac:dyDescent="0.3">
      <c r="A177" s="9">
        <v>45589</v>
      </c>
      <c r="B177" s="3" t="s">
        <v>5</v>
      </c>
      <c r="C177" s="13">
        <v>50</v>
      </c>
      <c r="D177" s="3" t="s">
        <v>6</v>
      </c>
      <c r="E177" s="3" t="s">
        <v>7</v>
      </c>
      <c r="F177" s="10" t="str">
        <f t="shared" si="11"/>
        <v>Oct-2024</v>
      </c>
      <c r="G177" t="str">
        <f t="shared" si="8"/>
        <v>2024-10</v>
      </c>
      <c r="H177" s="10">
        <f>VLOOKUP(B177, Price_List!$A$3:$C$62, 2, FALSE)</f>
        <v>60</v>
      </c>
      <c r="I177" s="10">
        <f>VLOOKUP(B177, Price_List!$A$3:$C$62, 3, FALSE)</f>
        <v>70</v>
      </c>
      <c r="J177" s="10" t="str">
        <f t="shared" si="9"/>
        <v>Below Min(Bargain)</v>
      </c>
      <c r="K177" s="10">
        <f t="shared" si="10"/>
        <v>10</v>
      </c>
    </row>
    <row r="178" spans="1:11" ht="15.6" x14ac:dyDescent="0.3">
      <c r="A178" s="9">
        <v>45589</v>
      </c>
      <c r="B178" s="15" t="s">
        <v>105</v>
      </c>
      <c r="C178" s="13">
        <v>1000</v>
      </c>
      <c r="D178" s="3" t="s">
        <v>8</v>
      </c>
      <c r="E178" s="3" t="s">
        <v>7</v>
      </c>
      <c r="F178" s="10" t="str">
        <f t="shared" si="11"/>
        <v>Oct-2024</v>
      </c>
      <c r="G178" t="str">
        <f t="shared" si="8"/>
        <v>2024-10</v>
      </c>
      <c r="H178" s="10">
        <f>VLOOKUP(B178, Price_List!$A$3:$C$62, 2, FALSE)</f>
        <v>1100</v>
      </c>
      <c r="I178" s="10">
        <f>VLOOKUP(B178, Price_List!$A$3:$C$62, 3, FALSE)</f>
        <v>1100</v>
      </c>
      <c r="J178" s="10" t="str">
        <f t="shared" si="9"/>
        <v>Below Min(Bargain)</v>
      </c>
      <c r="K178" s="10">
        <f t="shared" si="10"/>
        <v>100</v>
      </c>
    </row>
    <row r="179" spans="1:11" ht="15.6" x14ac:dyDescent="0.3">
      <c r="A179" s="9">
        <v>45589</v>
      </c>
      <c r="B179" s="3" t="s">
        <v>5</v>
      </c>
      <c r="C179" s="13">
        <v>100</v>
      </c>
      <c r="D179" s="3" t="s">
        <v>8</v>
      </c>
      <c r="E179" s="3" t="s">
        <v>7</v>
      </c>
      <c r="F179" s="10" t="str">
        <f t="shared" si="11"/>
        <v>Oct-2024</v>
      </c>
      <c r="G179" t="str">
        <f t="shared" si="8"/>
        <v>2024-10</v>
      </c>
      <c r="H179" s="10">
        <f>VLOOKUP(B179, Price_List!$A$3:$C$62, 2, FALSE)</f>
        <v>60</v>
      </c>
      <c r="I179" s="10">
        <f>VLOOKUP(B179, Price_List!$A$3:$C$62, 3, FALSE)</f>
        <v>70</v>
      </c>
      <c r="J179" s="10" t="str">
        <f t="shared" si="9"/>
        <v>Above Max</v>
      </c>
      <c r="K179" s="10">
        <f t="shared" si="10"/>
        <v>0</v>
      </c>
    </row>
    <row r="180" spans="1:11" ht="15.6" x14ac:dyDescent="0.3">
      <c r="A180" s="9">
        <v>45590</v>
      </c>
      <c r="B180" s="3" t="s">
        <v>44</v>
      </c>
      <c r="C180" s="13">
        <v>300</v>
      </c>
      <c r="D180" s="3" t="s">
        <v>8</v>
      </c>
      <c r="E180" s="3" t="s">
        <v>7</v>
      </c>
      <c r="F180" s="10" t="str">
        <f t="shared" si="11"/>
        <v>Oct-2024</v>
      </c>
      <c r="G180" t="str">
        <f t="shared" si="8"/>
        <v>2024-10</v>
      </c>
      <c r="H180" s="10">
        <f>VLOOKUP(B180, Price_List!$A$3:$C$62, 2, FALSE)</f>
        <v>300</v>
      </c>
      <c r="I180" s="10">
        <f>VLOOKUP(B180, Price_List!$A$3:$C$62, 3, FALSE)</f>
        <v>500</v>
      </c>
      <c r="J180" s="10" t="str">
        <f t="shared" si="9"/>
        <v>Within Range</v>
      </c>
      <c r="K180" s="10">
        <f t="shared" si="10"/>
        <v>0</v>
      </c>
    </row>
    <row r="181" spans="1:11" ht="15.6" x14ac:dyDescent="0.3">
      <c r="A181" s="9">
        <v>45590</v>
      </c>
      <c r="B181" s="3" t="s">
        <v>5</v>
      </c>
      <c r="C181" s="13">
        <v>70</v>
      </c>
      <c r="D181" s="3" t="s">
        <v>6</v>
      </c>
      <c r="E181" s="3" t="s">
        <v>7</v>
      </c>
      <c r="F181" s="10" t="str">
        <f t="shared" si="11"/>
        <v>Oct-2024</v>
      </c>
      <c r="G181" t="str">
        <f t="shared" si="8"/>
        <v>2024-10</v>
      </c>
      <c r="H181" s="10">
        <f>VLOOKUP(B181, Price_List!$A$3:$C$62, 2, FALSE)</f>
        <v>60</v>
      </c>
      <c r="I181" s="10">
        <f>VLOOKUP(B181, Price_List!$A$3:$C$62, 3, FALSE)</f>
        <v>70</v>
      </c>
      <c r="J181" s="10" t="str">
        <f t="shared" si="9"/>
        <v>Within Range</v>
      </c>
      <c r="K181" s="10">
        <f t="shared" si="10"/>
        <v>0</v>
      </c>
    </row>
    <row r="182" spans="1:11" ht="15.6" x14ac:dyDescent="0.3">
      <c r="A182" s="9">
        <v>45591</v>
      </c>
      <c r="B182" s="3" t="s">
        <v>5</v>
      </c>
      <c r="C182" s="13">
        <v>200</v>
      </c>
      <c r="D182" s="3" t="s">
        <v>8</v>
      </c>
      <c r="E182" s="3" t="s">
        <v>7</v>
      </c>
      <c r="F182" s="10" t="str">
        <f t="shared" si="11"/>
        <v>Oct-2024</v>
      </c>
      <c r="G182" t="str">
        <f t="shared" si="8"/>
        <v>2024-10</v>
      </c>
      <c r="H182" s="10">
        <f>VLOOKUP(B182, Price_List!$A$3:$C$62, 2, FALSE)</f>
        <v>60</v>
      </c>
      <c r="I182" s="10">
        <f>VLOOKUP(B182, Price_List!$A$3:$C$62, 3, FALSE)</f>
        <v>70</v>
      </c>
      <c r="J182" s="10" t="str">
        <f t="shared" si="9"/>
        <v>Above Max</v>
      </c>
      <c r="K182" s="10">
        <f t="shared" si="10"/>
        <v>0</v>
      </c>
    </row>
    <row r="183" spans="1:11" ht="15.6" x14ac:dyDescent="0.3">
      <c r="A183" s="9">
        <v>45591</v>
      </c>
      <c r="B183" s="3" t="s">
        <v>5</v>
      </c>
      <c r="C183" s="13">
        <v>50</v>
      </c>
      <c r="D183" s="3" t="s">
        <v>8</v>
      </c>
      <c r="E183" s="3" t="s">
        <v>7</v>
      </c>
      <c r="F183" s="10" t="str">
        <f t="shared" si="11"/>
        <v>Oct-2024</v>
      </c>
      <c r="G183" t="str">
        <f t="shared" si="8"/>
        <v>2024-10</v>
      </c>
      <c r="H183" s="10">
        <f>VLOOKUP(B183, Price_List!$A$3:$C$62, 2, FALSE)</f>
        <v>60</v>
      </c>
      <c r="I183" s="10">
        <f>VLOOKUP(B183, Price_List!$A$3:$C$62, 3, FALSE)</f>
        <v>70</v>
      </c>
      <c r="J183" s="10" t="str">
        <f t="shared" si="9"/>
        <v>Below Min(Bargain)</v>
      </c>
      <c r="K183" s="10">
        <f t="shared" si="10"/>
        <v>10</v>
      </c>
    </row>
    <row r="184" spans="1:11" ht="15.6" x14ac:dyDescent="0.3">
      <c r="A184" s="9">
        <v>45593</v>
      </c>
      <c r="B184" s="3" t="s">
        <v>12</v>
      </c>
      <c r="C184" s="13">
        <v>350</v>
      </c>
      <c r="D184" s="3" t="s">
        <v>8</v>
      </c>
      <c r="E184" s="3" t="s">
        <v>7</v>
      </c>
      <c r="F184" s="10" t="str">
        <f t="shared" si="11"/>
        <v>Oct-2024</v>
      </c>
      <c r="G184" t="str">
        <f t="shared" si="8"/>
        <v>2024-10</v>
      </c>
      <c r="H184" s="10">
        <f>VLOOKUP(B184, Price_List!$A$3:$C$62, 2, FALSE)</f>
        <v>350</v>
      </c>
      <c r="I184" s="10">
        <f>VLOOKUP(B184, Price_List!$A$3:$C$62, 3, FALSE)</f>
        <v>500</v>
      </c>
      <c r="J184" s="10" t="str">
        <f t="shared" si="9"/>
        <v>Within Range</v>
      </c>
      <c r="K184" s="10">
        <f t="shared" si="10"/>
        <v>0</v>
      </c>
    </row>
    <row r="185" spans="1:11" ht="15.6" x14ac:dyDescent="0.3">
      <c r="A185" s="9">
        <v>45593</v>
      </c>
      <c r="B185" s="3" t="s">
        <v>16</v>
      </c>
      <c r="C185" s="13">
        <v>350</v>
      </c>
      <c r="D185" s="3" t="s">
        <v>8</v>
      </c>
      <c r="E185" s="3" t="s">
        <v>7</v>
      </c>
      <c r="F185" s="10" t="str">
        <f t="shared" si="11"/>
        <v>Oct-2024</v>
      </c>
      <c r="G185" t="str">
        <f t="shared" si="8"/>
        <v>2024-10</v>
      </c>
      <c r="H185" s="10">
        <f>VLOOKUP(B185, Price_List!$A$3:$C$62, 2, FALSE)</f>
        <v>500</v>
      </c>
      <c r="I185" s="10">
        <f>VLOOKUP(B185, Price_List!$A$3:$C$62, 3, FALSE)</f>
        <v>500</v>
      </c>
      <c r="J185" s="10" t="str">
        <f t="shared" si="9"/>
        <v>Below Min(Bargain)</v>
      </c>
      <c r="K185" s="10">
        <f t="shared" si="10"/>
        <v>150</v>
      </c>
    </row>
    <row r="186" spans="1:11" ht="15.6" x14ac:dyDescent="0.3">
      <c r="A186" s="9">
        <v>45594</v>
      </c>
      <c r="B186" s="3" t="s">
        <v>14</v>
      </c>
      <c r="C186" s="13">
        <v>750</v>
      </c>
      <c r="D186" s="3" t="s">
        <v>8</v>
      </c>
      <c r="E186" s="3" t="s">
        <v>7</v>
      </c>
      <c r="F186" s="10" t="str">
        <f t="shared" si="11"/>
        <v>Oct-2024</v>
      </c>
      <c r="G186" t="str">
        <f t="shared" si="8"/>
        <v>2024-10</v>
      </c>
      <c r="H186" s="10">
        <f>VLOOKUP(B186, Price_List!$A$3:$C$62, 2, FALSE)</f>
        <v>800</v>
      </c>
      <c r="I186" s="10">
        <f>VLOOKUP(B186, Price_List!$A$3:$C$62, 3, FALSE)</f>
        <v>1000</v>
      </c>
      <c r="J186" s="10" t="str">
        <f t="shared" si="9"/>
        <v>Below Min(Bargain)</v>
      </c>
      <c r="K186" s="10">
        <f t="shared" si="10"/>
        <v>50</v>
      </c>
    </row>
    <row r="187" spans="1:11" ht="15.6" x14ac:dyDescent="0.3">
      <c r="A187" s="9">
        <v>45594</v>
      </c>
      <c r="B187" s="3" t="s">
        <v>14</v>
      </c>
      <c r="C187" s="13">
        <v>750</v>
      </c>
      <c r="D187" s="3" t="s">
        <v>8</v>
      </c>
      <c r="E187" s="3" t="s">
        <v>7</v>
      </c>
      <c r="F187" s="10" t="str">
        <f t="shared" si="11"/>
        <v>Oct-2024</v>
      </c>
      <c r="G187" t="str">
        <f t="shared" si="8"/>
        <v>2024-10</v>
      </c>
      <c r="H187" s="10">
        <f>VLOOKUP(B187, Price_List!$A$3:$C$62, 2, FALSE)</f>
        <v>800</v>
      </c>
      <c r="I187" s="10">
        <f>VLOOKUP(B187, Price_List!$A$3:$C$62, 3, FALSE)</f>
        <v>1000</v>
      </c>
      <c r="J187" s="10" t="str">
        <f t="shared" si="9"/>
        <v>Below Min(Bargain)</v>
      </c>
      <c r="K187" s="10">
        <f t="shared" si="10"/>
        <v>50</v>
      </c>
    </row>
    <row r="188" spans="1:11" ht="15.6" x14ac:dyDescent="0.3">
      <c r="A188" s="9">
        <v>45595</v>
      </c>
      <c r="B188" s="3" t="s">
        <v>31</v>
      </c>
      <c r="C188" s="13">
        <v>1000</v>
      </c>
      <c r="D188" s="3" t="s">
        <v>8</v>
      </c>
      <c r="E188" s="3" t="s">
        <v>7</v>
      </c>
      <c r="F188" s="10" t="str">
        <f t="shared" si="11"/>
        <v>Oct-2024</v>
      </c>
      <c r="G188" t="str">
        <f t="shared" si="8"/>
        <v>2024-10</v>
      </c>
      <c r="H188" s="10">
        <f>VLOOKUP(B188, Price_List!$A$3:$C$62, 2, FALSE)</f>
        <v>1000</v>
      </c>
      <c r="I188" s="10">
        <f>VLOOKUP(B188, Price_List!$A$3:$C$62, 3, FALSE)</f>
        <v>1000</v>
      </c>
      <c r="J188" s="10" t="str">
        <f t="shared" si="9"/>
        <v>Within Range</v>
      </c>
      <c r="K188" s="10">
        <f t="shared" si="10"/>
        <v>0</v>
      </c>
    </row>
    <row r="189" spans="1:11" ht="15.6" x14ac:dyDescent="0.3">
      <c r="A189" s="9">
        <v>45595</v>
      </c>
      <c r="B189" s="3" t="s">
        <v>5</v>
      </c>
      <c r="C189" s="13">
        <v>50</v>
      </c>
      <c r="D189" s="3" t="s">
        <v>8</v>
      </c>
      <c r="E189" s="3" t="s">
        <v>7</v>
      </c>
      <c r="F189" s="10" t="str">
        <f t="shared" si="11"/>
        <v>Oct-2024</v>
      </c>
      <c r="G189" t="str">
        <f t="shared" si="8"/>
        <v>2024-10</v>
      </c>
      <c r="H189" s="10">
        <f>VLOOKUP(B189, Price_List!$A$3:$C$62, 2, FALSE)</f>
        <v>60</v>
      </c>
      <c r="I189" s="10">
        <f>VLOOKUP(B189, Price_List!$A$3:$C$62, 3, FALSE)</f>
        <v>70</v>
      </c>
      <c r="J189" s="10" t="str">
        <f t="shared" si="9"/>
        <v>Below Min(Bargain)</v>
      </c>
      <c r="K189" s="10">
        <f t="shared" si="10"/>
        <v>10</v>
      </c>
    </row>
    <row r="190" spans="1:11" ht="15.6" x14ac:dyDescent="0.3">
      <c r="A190" s="9">
        <v>45596</v>
      </c>
      <c r="B190" s="15" t="s">
        <v>105</v>
      </c>
      <c r="C190" s="13">
        <v>1000</v>
      </c>
      <c r="D190" s="3" t="s">
        <v>6</v>
      </c>
      <c r="E190" s="3" t="s">
        <v>7</v>
      </c>
      <c r="F190" s="10" t="str">
        <f t="shared" si="11"/>
        <v>Oct-2024</v>
      </c>
      <c r="G190" t="str">
        <f t="shared" si="8"/>
        <v>2024-10</v>
      </c>
      <c r="H190" s="10">
        <f>VLOOKUP(B190, Price_List!$A$3:$C$62, 2, FALSE)</f>
        <v>1100</v>
      </c>
      <c r="I190" s="10">
        <f>VLOOKUP(B190, Price_List!$A$3:$C$62, 3, FALSE)</f>
        <v>1100</v>
      </c>
      <c r="J190" s="10" t="str">
        <f t="shared" si="9"/>
        <v>Below Min(Bargain)</v>
      </c>
      <c r="K190" s="10">
        <f t="shared" si="10"/>
        <v>100</v>
      </c>
    </row>
    <row r="191" spans="1:11" ht="15.6" x14ac:dyDescent="0.3">
      <c r="A191" s="9">
        <v>45596</v>
      </c>
      <c r="B191" s="3" t="s">
        <v>5</v>
      </c>
      <c r="C191" s="13">
        <v>170</v>
      </c>
      <c r="D191" s="3" t="s">
        <v>6</v>
      </c>
      <c r="E191" s="3" t="s">
        <v>7</v>
      </c>
      <c r="F191" s="10" t="str">
        <f t="shared" si="11"/>
        <v>Oct-2024</v>
      </c>
      <c r="G191" t="str">
        <f t="shared" si="8"/>
        <v>2024-10</v>
      </c>
      <c r="H191" s="10">
        <f>VLOOKUP(B191, Price_List!$A$3:$C$62, 2, FALSE)</f>
        <v>60</v>
      </c>
      <c r="I191" s="10">
        <f>VLOOKUP(B191, Price_List!$A$3:$C$62, 3, FALSE)</f>
        <v>70</v>
      </c>
      <c r="J191" s="10" t="str">
        <f t="shared" si="9"/>
        <v>Above Max</v>
      </c>
      <c r="K191" s="10">
        <f t="shared" si="10"/>
        <v>0</v>
      </c>
    </row>
    <row r="192" spans="1:11" ht="15.6" x14ac:dyDescent="0.3">
      <c r="A192" s="9">
        <v>45597</v>
      </c>
      <c r="B192" s="3" t="s">
        <v>45</v>
      </c>
      <c r="C192" s="13">
        <v>620</v>
      </c>
      <c r="D192" s="3" t="s">
        <v>8</v>
      </c>
      <c r="E192" s="3" t="s">
        <v>7</v>
      </c>
      <c r="F192" s="10" t="str">
        <f t="shared" si="11"/>
        <v>Nov-2024</v>
      </c>
      <c r="G192" t="str">
        <f t="shared" si="8"/>
        <v>2024-11</v>
      </c>
      <c r="H192" s="10">
        <f>VLOOKUP(B192, Price_List!$A$3:$C$62, 2, FALSE)</f>
        <v>3000</v>
      </c>
      <c r="I192" s="10">
        <f>VLOOKUP(B192, Price_List!$A$3:$C$62, 3, FALSE)</f>
        <v>7000</v>
      </c>
      <c r="J192" s="10" t="str">
        <f t="shared" si="9"/>
        <v>Below Min(Bargain)</v>
      </c>
      <c r="K192" s="10">
        <f t="shared" si="10"/>
        <v>2380</v>
      </c>
    </row>
    <row r="193" spans="1:11" ht="15.6" x14ac:dyDescent="0.3">
      <c r="A193" s="9">
        <v>45597</v>
      </c>
      <c r="B193" s="3" t="s">
        <v>36</v>
      </c>
      <c r="C193" s="13">
        <v>100</v>
      </c>
      <c r="D193" s="3" t="s">
        <v>6</v>
      </c>
      <c r="E193" s="3" t="s">
        <v>7</v>
      </c>
      <c r="F193" s="10" t="str">
        <f t="shared" si="11"/>
        <v>Nov-2024</v>
      </c>
      <c r="G193" t="str">
        <f t="shared" si="8"/>
        <v>2024-11</v>
      </c>
      <c r="H193" s="10">
        <f>VLOOKUP(B193, Price_List!$A$3:$C$62, 2, FALSE)</f>
        <v>70</v>
      </c>
      <c r="I193" s="10">
        <f>VLOOKUP(B193, Price_List!$A$3:$C$62, 3, FALSE)</f>
        <v>140</v>
      </c>
      <c r="J193" s="10" t="str">
        <f t="shared" si="9"/>
        <v>Within Range</v>
      </c>
      <c r="K193" s="10">
        <f t="shared" si="10"/>
        <v>0</v>
      </c>
    </row>
    <row r="194" spans="1:11" ht="15.6" x14ac:dyDescent="0.3">
      <c r="A194" s="9">
        <v>45597</v>
      </c>
      <c r="B194" s="3" t="s">
        <v>5</v>
      </c>
      <c r="C194" s="13">
        <v>50</v>
      </c>
      <c r="D194" s="3" t="s">
        <v>6</v>
      </c>
      <c r="E194" s="3" t="s">
        <v>7</v>
      </c>
      <c r="F194" s="10" t="str">
        <f t="shared" si="11"/>
        <v>Nov-2024</v>
      </c>
      <c r="G194" t="str">
        <f t="shared" si="8"/>
        <v>2024-11</v>
      </c>
      <c r="H194" s="10">
        <f>VLOOKUP(B194, Price_List!$A$3:$C$62, 2, FALSE)</f>
        <v>60</v>
      </c>
      <c r="I194" s="10">
        <f>VLOOKUP(B194, Price_List!$A$3:$C$62, 3, FALSE)</f>
        <v>70</v>
      </c>
      <c r="J194" s="10" t="str">
        <f t="shared" si="9"/>
        <v>Below Min(Bargain)</v>
      </c>
      <c r="K194" s="10">
        <f t="shared" si="10"/>
        <v>10</v>
      </c>
    </row>
    <row r="195" spans="1:11" ht="15.6" x14ac:dyDescent="0.3">
      <c r="A195" s="9">
        <v>45598</v>
      </c>
      <c r="B195" s="3" t="s">
        <v>31</v>
      </c>
      <c r="C195" s="13">
        <v>520</v>
      </c>
      <c r="D195" s="3" t="s">
        <v>6</v>
      </c>
      <c r="E195" s="3" t="s">
        <v>7</v>
      </c>
      <c r="F195" s="10" t="str">
        <f t="shared" si="11"/>
        <v>Nov-2024</v>
      </c>
      <c r="G195" t="str">
        <f t="shared" ref="G195:G258" si="12">TEXT(A195,"yyyy-mm")</f>
        <v>2024-11</v>
      </c>
      <c r="H195" s="10">
        <f>VLOOKUP(B195, Price_List!$A$3:$C$62, 2, FALSE)</f>
        <v>1000</v>
      </c>
      <c r="I195" s="10">
        <f>VLOOKUP(B195, Price_List!$A$3:$C$62, 3, FALSE)</f>
        <v>1000</v>
      </c>
      <c r="J195" s="10" t="str">
        <f t="shared" ref="J195:J258" si="13">IF(C195 &lt; H195, "Below Min(Bargain)", IF(C195 &gt; I195, "Above Max", "Within Range"))</f>
        <v>Below Min(Bargain)</v>
      </c>
      <c r="K195" s="10">
        <f t="shared" ref="K195:K258" si="14">IF(C195 &lt; H195, H195 - C195, 0)</f>
        <v>480</v>
      </c>
    </row>
    <row r="196" spans="1:11" ht="15.6" x14ac:dyDescent="0.3">
      <c r="A196" s="9">
        <v>45598</v>
      </c>
      <c r="B196" s="3" t="s">
        <v>14</v>
      </c>
      <c r="C196" s="13">
        <v>700</v>
      </c>
      <c r="D196" s="3" t="s">
        <v>8</v>
      </c>
      <c r="E196" s="3" t="s">
        <v>7</v>
      </c>
      <c r="F196" s="10" t="str">
        <f t="shared" ref="F196:F259" si="15">TEXT(A196, "mmm-yyyy")</f>
        <v>Nov-2024</v>
      </c>
      <c r="G196" t="str">
        <f t="shared" si="12"/>
        <v>2024-11</v>
      </c>
      <c r="H196" s="10">
        <f>VLOOKUP(B196, Price_List!$A$3:$C$62, 2, FALSE)</f>
        <v>800</v>
      </c>
      <c r="I196" s="10">
        <f>VLOOKUP(B196, Price_List!$A$3:$C$62, 3, FALSE)</f>
        <v>1000</v>
      </c>
      <c r="J196" s="10" t="str">
        <f t="shared" si="13"/>
        <v>Below Min(Bargain)</v>
      </c>
      <c r="K196" s="10">
        <f t="shared" si="14"/>
        <v>100</v>
      </c>
    </row>
    <row r="197" spans="1:11" ht="15.6" x14ac:dyDescent="0.3">
      <c r="A197" s="9">
        <v>45598</v>
      </c>
      <c r="B197" s="3" t="s">
        <v>29</v>
      </c>
      <c r="C197" s="13">
        <v>400</v>
      </c>
      <c r="D197" s="3" t="s">
        <v>8</v>
      </c>
      <c r="E197" s="3" t="s">
        <v>7</v>
      </c>
      <c r="F197" s="10" t="str">
        <f t="shared" si="15"/>
        <v>Nov-2024</v>
      </c>
      <c r="G197" t="str">
        <f t="shared" si="12"/>
        <v>2024-11</v>
      </c>
      <c r="H197" s="10">
        <f>VLOOKUP(B197, Price_List!$A$3:$C$62, 2, FALSE)</f>
        <v>400</v>
      </c>
      <c r="I197" s="10">
        <f>VLOOKUP(B197, Price_List!$A$3:$C$62, 3, FALSE)</f>
        <v>400</v>
      </c>
      <c r="J197" s="10" t="str">
        <f t="shared" si="13"/>
        <v>Within Range</v>
      </c>
      <c r="K197" s="10">
        <f t="shared" si="14"/>
        <v>0</v>
      </c>
    </row>
    <row r="198" spans="1:11" ht="15.6" x14ac:dyDescent="0.3">
      <c r="A198" s="9">
        <v>45600</v>
      </c>
      <c r="B198" s="3" t="s">
        <v>14</v>
      </c>
      <c r="C198" s="13">
        <v>900</v>
      </c>
      <c r="D198" s="3" t="s">
        <v>8</v>
      </c>
      <c r="E198" s="3" t="s">
        <v>7</v>
      </c>
      <c r="F198" s="10" t="str">
        <f t="shared" si="15"/>
        <v>Nov-2024</v>
      </c>
      <c r="G198" t="str">
        <f t="shared" si="12"/>
        <v>2024-11</v>
      </c>
      <c r="H198" s="10">
        <f>VLOOKUP(B198, Price_List!$A$3:$C$62, 2, FALSE)</f>
        <v>800</v>
      </c>
      <c r="I198" s="10">
        <f>VLOOKUP(B198, Price_List!$A$3:$C$62, 3, FALSE)</f>
        <v>1000</v>
      </c>
      <c r="J198" s="10" t="str">
        <f t="shared" si="13"/>
        <v>Within Range</v>
      </c>
      <c r="K198" s="10">
        <f t="shared" si="14"/>
        <v>0</v>
      </c>
    </row>
    <row r="199" spans="1:11" ht="15.6" x14ac:dyDescent="0.3">
      <c r="A199" s="9">
        <v>45600</v>
      </c>
      <c r="B199" s="3" t="s">
        <v>46</v>
      </c>
      <c r="C199" s="13">
        <v>300</v>
      </c>
      <c r="D199" s="3" t="s">
        <v>8</v>
      </c>
      <c r="E199" s="3" t="s">
        <v>7</v>
      </c>
      <c r="F199" s="10" t="str">
        <f t="shared" si="15"/>
        <v>Nov-2024</v>
      </c>
      <c r="G199" t="str">
        <f t="shared" si="12"/>
        <v>2024-11</v>
      </c>
      <c r="H199" s="10">
        <f>VLOOKUP(B199, Price_List!$A$3:$C$62, 2, FALSE)</f>
        <v>350</v>
      </c>
      <c r="I199" s="10">
        <f>VLOOKUP(B199, Price_List!$A$3:$C$62, 3, FALSE)</f>
        <v>350</v>
      </c>
      <c r="J199" s="10" t="str">
        <f t="shared" si="13"/>
        <v>Below Min(Bargain)</v>
      </c>
      <c r="K199" s="10">
        <f t="shared" si="14"/>
        <v>50</v>
      </c>
    </row>
    <row r="200" spans="1:11" ht="15.6" x14ac:dyDescent="0.3">
      <c r="A200" s="9">
        <v>45601</v>
      </c>
      <c r="B200" s="3" t="s">
        <v>5</v>
      </c>
      <c r="C200" s="13">
        <v>50</v>
      </c>
      <c r="D200" s="3" t="s">
        <v>6</v>
      </c>
      <c r="E200" s="3" t="s">
        <v>7</v>
      </c>
      <c r="F200" s="10" t="str">
        <f t="shared" si="15"/>
        <v>Nov-2024</v>
      </c>
      <c r="G200" t="str">
        <f t="shared" si="12"/>
        <v>2024-11</v>
      </c>
      <c r="H200" s="10">
        <f>VLOOKUP(B200, Price_List!$A$3:$C$62, 2, FALSE)</f>
        <v>60</v>
      </c>
      <c r="I200" s="10">
        <f>VLOOKUP(B200, Price_List!$A$3:$C$62, 3, FALSE)</f>
        <v>70</v>
      </c>
      <c r="J200" s="10" t="str">
        <f t="shared" si="13"/>
        <v>Below Min(Bargain)</v>
      </c>
      <c r="K200" s="10">
        <f t="shared" si="14"/>
        <v>10</v>
      </c>
    </row>
    <row r="201" spans="1:11" ht="15.6" x14ac:dyDescent="0.3">
      <c r="A201" s="9">
        <v>45602</v>
      </c>
      <c r="B201" s="3" t="s">
        <v>5</v>
      </c>
      <c r="C201" s="13">
        <v>100</v>
      </c>
      <c r="D201" s="3" t="s">
        <v>8</v>
      </c>
      <c r="E201" s="3" t="s">
        <v>7</v>
      </c>
      <c r="F201" s="10" t="str">
        <f t="shared" si="15"/>
        <v>Nov-2024</v>
      </c>
      <c r="G201" t="str">
        <f t="shared" si="12"/>
        <v>2024-11</v>
      </c>
      <c r="H201" s="10">
        <f>VLOOKUP(B201, Price_List!$A$3:$C$62, 2, FALSE)</f>
        <v>60</v>
      </c>
      <c r="I201" s="10">
        <f>VLOOKUP(B201, Price_List!$A$3:$C$62, 3, FALSE)</f>
        <v>70</v>
      </c>
      <c r="J201" s="10" t="str">
        <f t="shared" si="13"/>
        <v>Above Max</v>
      </c>
      <c r="K201" s="10">
        <f t="shared" si="14"/>
        <v>0</v>
      </c>
    </row>
    <row r="202" spans="1:11" ht="15.6" x14ac:dyDescent="0.3">
      <c r="A202" s="9">
        <v>45602</v>
      </c>
      <c r="B202" s="3" t="s">
        <v>5</v>
      </c>
      <c r="C202" s="13">
        <v>100</v>
      </c>
      <c r="D202" s="3" t="s">
        <v>8</v>
      </c>
      <c r="E202" s="3" t="s">
        <v>7</v>
      </c>
      <c r="F202" s="10" t="str">
        <f t="shared" si="15"/>
        <v>Nov-2024</v>
      </c>
      <c r="G202" t="str">
        <f t="shared" si="12"/>
        <v>2024-11</v>
      </c>
      <c r="H202" s="10">
        <f>VLOOKUP(B202, Price_List!$A$3:$C$62, 2, FALSE)</f>
        <v>60</v>
      </c>
      <c r="I202" s="10">
        <f>VLOOKUP(B202, Price_List!$A$3:$C$62, 3, FALSE)</f>
        <v>70</v>
      </c>
      <c r="J202" s="10" t="str">
        <f t="shared" si="13"/>
        <v>Above Max</v>
      </c>
      <c r="K202" s="10">
        <f t="shared" si="14"/>
        <v>0</v>
      </c>
    </row>
    <row r="203" spans="1:11" ht="15.6" x14ac:dyDescent="0.3">
      <c r="A203" s="9">
        <v>45604</v>
      </c>
      <c r="B203" s="3" t="s">
        <v>12</v>
      </c>
      <c r="C203" s="13">
        <v>400</v>
      </c>
      <c r="D203" s="3" t="s">
        <v>8</v>
      </c>
      <c r="E203" s="3" t="s">
        <v>7</v>
      </c>
      <c r="F203" s="10" t="str">
        <f t="shared" si="15"/>
        <v>Nov-2024</v>
      </c>
      <c r="G203" t="str">
        <f t="shared" si="12"/>
        <v>2024-11</v>
      </c>
      <c r="H203" s="10">
        <f>VLOOKUP(B203, Price_List!$A$3:$C$62, 2, FALSE)</f>
        <v>350</v>
      </c>
      <c r="I203" s="10">
        <f>VLOOKUP(B203, Price_List!$A$3:$C$62, 3, FALSE)</f>
        <v>500</v>
      </c>
      <c r="J203" s="10" t="str">
        <f t="shared" si="13"/>
        <v>Within Range</v>
      </c>
      <c r="K203" s="10">
        <f t="shared" si="14"/>
        <v>0</v>
      </c>
    </row>
    <row r="204" spans="1:11" ht="15.6" x14ac:dyDescent="0.3">
      <c r="A204" s="9">
        <v>45604</v>
      </c>
      <c r="B204" s="15" t="s">
        <v>116</v>
      </c>
      <c r="C204" s="13">
        <v>1000</v>
      </c>
      <c r="D204" s="3" t="s">
        <v>8</v>
      </c>
      <c r="E204" s="3" t="s">
        <v>7</v>
      </c>
      <c r="F204" s="10" t="str">
        <f t="shared" si="15"/>
        <v>Nov-2024</v>
      </c>
      <c r="G204" t="str">
        <f t="shared" si="12"/>
        <v>2024-11</v>
      </c>
      <c r="H204" s="10">
        <f>VLOOKUP(B204, Price_List!$A$3:$C$62, 2, FALSE)</f>
        <v>1100</v>
      </c>
      <c r="I204" s="10">
        <f>VLOOKUP(B204, Price_List!$A$3:$C$62, 3, FALSE)</f>
        <v>1100</v>
      </c>
      <c r="J204" s="10" t="str">
        <f t="shared" si="13"/>
        <v>Below Min(Bargain)</v>
      </c>
      <c r="K204" s="10">
        <f t="shared" si="14"/>
        <v>100</v>
      </c>
    </row>
    <row r="205" spans="1:11" ht="15.6" x14ac:dyDescent="0.3">
      <c r="A205" s="9">
        <v>45604</v>
      </c>
      <c r="B205" s="3" t="s">
        <v>5</v>
      </c>
      <c r="C205" s="13">
        <v>50</v>
      </c>
      <c r="D205" s="3" t="s">
        <v>8</v>
      </c>
      <c r="E205" s="3" t="s">
        <v>7</v>
      </c>
      <c r="F205" s="10" t="str">
        <f t="shared" si="15"/>
        <v>Nov-2024</v>
      </c>
      <c r="G205" t="str">
        <f t="shared" si="12"/>
        <v>2024-11</v>
      </c>
      <c r="H205" s="10">
        <f>VLOOKUP(B205, Price_List!$A$3:$C$62, 2, FALSE)</f>
        <v>60</v>
      </c>
      <c r="I205" s="10">
        <f>VLOOKUP(B205, Price_List!$A$3:$C$62, 3, FALSE)</f>
        <v>70</v>
      </c>
      <c r="J205" s="10" t="str">
        <f t="shared" si="13"/>
        <v>Below Min(Bargain)</v>
      </c>
      <c r="K205" s="10">
        <f t="shared" si="14"/>
        <v>10</v>
      </c>
    </row>
    <row r="206" spans="1:11" ht="15.6" x14ac:dyDescent="0.3">
      <c r="A206" s="9">
        <v>45605</v>
      </c>
      <c r="B206" s="15" t="s">
        <v>112</v>
      </c>
      <c r="C206" s="13">
        <v>600</v>
      </c>
      <c r="D206" s="3" t="s">
        <v>6</v>
      </c>
      <c r="E206" s="3" t="s">
        <v>7</v>
      </c>
      <c r="F206" s="10" t="str">
        <f t="shared" si="15"/>
        <v>Nov-2024</v>
      </c>
      <c r="G206" t="str">
        <f t="shared" si="12"/>
        <v>2024-11</v>
      </c>
      <c r="H206" s="10">
        <f>VLOOKUP(B206, Price_List!$A$3:$C$62, 2, FALSE)</f>
        <v>700</v>
      </c>
      <c r="I206" s="10">
        <f>VLOOKUP(B206, Price_List!$A$3:$C$62, 3, FALSE)</f>
        <v>700</v>
      </c>
      <c r="J206" s="10" t="str">
        <f t="shared" si="13"/>
        <v>Below Min(Bargain)</v>
      </c>
      <c r="K206" s="10">
        <f t="shared" si="14"/>
        <v>100</v>
      </c>
    </row>
    <row r="207" spans="1:11" ht="15.6" x14ac:dyDescent="0.3">
      <c r="A207" s="9">
        <v>45605</v>
      </c>
      <c r="B207" s="3" t="s">
        <v>44</v>
      </c>
      <c r="C207" s="13">
        <v>350</v>
      </c>
      <c r="D207" s="3" t="s">
        <v>8</v>
      </c>
      <c r="E207" s="3" t="s">
        <v>7</v>
      </c>
      <c r="F207" s="10" t="str">
        <f t="shared" si="15"/>
        <v>Nov-2024</v>
      </c>
      <c r="G207" t="str">
        <f t="shared" si="12"/>
        <v>2024-11</v>
      </c>
      <c r="H207" s="10">
        <f>VLOOKUP(B207, Price_List!$A$3:$C$62, 2, FALSE)</f>
        <v>300</v>
      </c>
      <c r="I207" s="10">
        <f>VLOOKUP(B207, Price_List!$A$3:$C$62, 3, FALSE)</f>
        <v>500</v>
      </c>
      <c r="J207" s="10" t="str">
        <f t="shared" si="13"/>
        <v>Within Range</v>
      </c>
      <c r="K207" s="10">
        <f t="shared" si="14"/>
        <v>0</v>
      </c>
    </row>
    <row r="208" spans="1:11" ht="15.6" x14ac:dyDescent="0.3">
      <c r="A208" s="9">
        <v>45607</v>
      </c>
      <c r="B208" s="3" t="s">
        <v>46</v>
      </c>
      <c r="C208" s="13">
        <v>350</v>
      </c>
      <c r="D208" s="3" t="s">
        <v>8</v>
      </c>
      <c r="E208" s="3" t="s">
        <v>7</v>
      </c>
      <c r="F208" s="10" t="str">
        <f t="shared" si="15"/>
        <v>Nov-2024</v>
      </c>
      <c r="G208" t="str">
        <f t="shared" si="12"/>
        <v>2024-11</v>
      </c>
      <c r="H208" s="10">
        <f>VLOOKUP(B208, Price_List!$A$3:$C$62, 2, FALSE)</f>
        <v>350</v>
      </c>
      <c r="I208" s="10">
        <f>VLOOKUP(B208, Price_List!$A$3:$C$62, 3, FALSE)</f>
        <v>350</v>
      </c>
      <c r="J208" s="10" t="str">
        <f t="shared" si="13"/>
        <v>Within Range</v>
      </c>
      <c r="K208" s="10">
        <f t="shared" si="14"/>
        <v>0</v>
      </c>
    </row>
    <row r="209" spans="1:11" ht="15.6" x14ac:dyDescent="0.3">
      <c r="A209" s="9">
        <v>45607</v>
      </c>
      <c r="B209" s="3" t="s">
        <v>5</v>
      </c>
      <c r="C209" s="13">
        <v>100</v>
      </c>
      <c r="D209" s="3" t="s">
        <v>6</v>
      </c>
      <c r="E209" s="3" t="s">
        <v>7</v>
      </c>
      <c r="F209" s="10" t="str">
        <f t="shared" si="15"/>
        <v>Nov-2024</v>
      </c>
      <c r="G209" t="str">
        <f t="shared" si="12"/>
        <v>2024-11</v>
      </c>
      <c r="H209" s="10">
        <f>VLOOKUP(B209, Price_List!$A$3:$C$62, 2, FALSE)</f>
        <v>60</v>
      </c>
      <c r="I209" s="10">
        <f>VLOOKUP(B209, Price_List!$A$3:$C$62, 3, FALSE)</f>
        <v>70</v>
      </c>
      <c r="J209" s="10" t="str">
        <f t="shared" si="13"/>
        <v>Above Max</v>
      </c>
      <c r="K209" s="10">
        <f t="shared" si="14"/>
        <v>0</v>
      </c>
    </row>
    <row r="210" spans="1:11" ht="15.6" x14ac:dyDescent="0.3">
      <c r="A210" s="9">
        <v>45608</v>
      </c>
      <c r="B210" s="3" t="s">
        <v>5</v>
      </c>
      <c r="C210" s="13">
        <v>150</v>
      </c>
      <c r="D210" s="3" t="s">
        <v>8</v>
      </c>
      <c r="E210" s="3" t="s">
        <v>7</v>
      </c>
      <c r="F210" s="10" t="str">
        <f t="shared" si="15"/>
        <v>Nov-2024</v>
      </c>
      <c r="G210" t="str">
        <f t="shared" si="12"/>
        <v>2024-11</v>
      </c>
      <c r="H210" s="10">
        <f>VLOOKUP(B210, Price_List!$A$3:$C$62, 2, FALSE)</f>
        <v>60</v>
      </c>
      <c r="I210" s="10">
        <f>VLOOKUP(B210, Price_List!$A$3:$C$62, 3, FALSE)</f>
        <v>70</v>
      </c>
      <c r="J210" s="10" t="str">
        <f t="shared" si="13"/>
        <v>Above Max</v>
      </c>
      <c r="K210" s="10">
        <f t="shared" si="14"/>
        <v>0</v>
      </c>
    </row>
    <row r="211" spans="1:11" ht="15.6" x14ac:dyDescent="0.3">
      <c r="A211" s="9">
        <v>45608</v>
      </c>
      <c r="B211" s="3" t="s">
        <v>5</v>
      </c>
      <c r="C211" s="13">
        <v>100</v>
      </c>
      <c r="D211" s="3" t="s">
        <v>6</v>
      </c>
      <c r="E211" s="3" t="s">
        <v>7</v>
      </c>
      <c r="F211" s="10" t="str">
        <f t="shared" si="15"/>
        <v>Nov-2024</v>
      </c>
      <c r="G211" t="str">
        <f t="shared" si="12"/>
        <v>2024-11</v>
      </c>
      <c r="H211" s="10">
        <f>VLOOKUP(B211, Price_List!$A$3:$C$62, 2, FALSE)</f>
        <v>60</v>
      </c>
      <c r="I211" s="10">
        <f>VLOOKUP(B211, Price_List!$A$3:$C$62, 3, FALSE)</f>
        <v>70</v>
      </c>
      <c r="J211" s="10" t="str">
        <f t="shared" si="13"/>
        <v>Above Max</v>
      </c>
      <c r="K211" s="10">
        <f t="shared" si="14"/>
        <v>0</v>
      </c>
    </row>
    <row r="212" spans="1:11" ht="15.6" x14ac:dyDescent="0.3">
      <c r="A212" s="9">
        <v>45608</v>
      </c>
      <c r="B212" s="15" t="s">
        <v>104</v>
      </c>
      <c r="C212" s="13">
        <v>500</v>
      </c>
      <c r="D212" s="3" t="s">
        <v>8</v>
      </c>
      <c r="E212" s="3" t="s">
        <v>7</v>
      </c>
      <c r="F212" s="10" t="str">
        <f t="shared" si="15"/>
        <v>Nov-2024</v>
      </c>
      <c r="G212" t="str">
        <f t="shared" si="12"/>
        <v>2024-11</v>
      </c>
      <c r="H212" s="10">
        <f>VLOOKUP(B212, Price_List!$A$3:$C$62, 2, FALSE)</f>
        <v>500</v>
      </c>
      <c r="I212" s="10">
        <f>VLOOKUP(B212, Price_List!$A$3:$C$62, 3, FALSE)</f>
        <v>500</v>
      </c>
      <c r="J212" s="10" t="str">
        <f t="shared" si="13"/>
        <v>Within Range</v>
      </c>
      <c r="K212" s="10">
        <f t="shared" si="14"/>
        <v>0</v>
      </c>
    </row>
    <row r="213" spans="1:11" ht="15.6" x14ac:dyDescent="0.3">
      <c r="A213" s="9">
        <v>45609</v>
      </c>
      <c r="B213" s="3" t="s">
        <v>14</v>
      </c>
      <c r="C213" s="13">
        <v>650</v>
      </c>
      <c r="D213" s="3" t="s">
        <v>8</v>
      </c>
      <c r="E213" s="3" t="s">
        <v>7</v>
      </c>
      <c r="F213" s="10" t="str">
        <f t="shared" si="15"/>
        <v>Nov-2024</v>
      </c>
      <c r="G213" t="str">
        <f t="shared" si="12"/>
        <v>2024-11</v>
      </c>
      <c r="H213" s="10">
        <f>VLOOKUP(B213, Price_List!$A$3:$C$62, 2, FALSE)</f>
        <v>800</v>
      </c>
      <c r="I213" s="10">
        <f>VLOOKUP(B213, Price_List!$A$3:$C$62, 3, FALSE)</f>
        <v>1000</v>
      </c>
      <c r="J213" s="10" t="str">
        <f t="shared" si="13"/>
        <v>Below Min(Bargain)</v>
      </c>
      <c r="K213" s="10">
        <f t="shared" si="14"/>
        <v>150</v>
      </c>
    </row>
    <row r="214" spans="1:11" ht="15.6" x14ac:dyDescent="0.3">
      <c r="A214" s="9">
        <v>45610</v>
      </c>
      <c r="B214" s="15" t="s">
        <v>117</v>
      </c>
      <c r="C214" s="13">
        <v>800</v>
      </c>
      <c r="D214" s="3" t="s">
        <v>8</v>
      </c>
      <c r="E214" s="3" t="s">
        <v>7</v>
      </c>
      <c r="F214" s="10" t="str">
        <f t="shared" si="15"/>
        <v>Nov-2024</v>
      </c>
      <c r="G214" t="str">
        <f t="shared" si="12"/>
        <v>2024-11</v>
      </c>
      <c r="H214" s="10">
        <f>VLOOKUP(B214, Price_List!$A$3:$C$62, 2, FALSE)</f>
        <v>800</v>
      </c>
      <c r="I214" s="10">
        <f>VLOOKUP(B214, Price_List!$A$3:$C$62, 3, FALSE)</f>
        <v>800</v>
      </c>
      <c r="J214" s="10" t="str">
        <f t="shared" si="13"/>
        <v>Within Range</v>
      </c>
      <c r="K214" s="10">
        <f t="shared" si="14"/>
        <v>0</v>
      </c>
    </row>
    <row r="215" spans="1:11" ht="15.6" x14ac:dyDescent="0.3">
      <c r="A215" s="9">
        <v>45611</v>
      </c>
      <c r="B215" s="3" t="s">
        <v>14</v>
      </c>
      <c r="C215" s="13">
        <v>900</v>
      </c>
      <c r="D215" s="3" t="s">
        <v>8</v>
      </c>
      <c r="E215" s="3" t="s">
        <v>7</v>
      </c>
      <c r="F215" s="10" t="str">
        <f t="shared" si="15"/>
        <v>Nov-2024</v>
      </c>
      <c r="G215" t="str">
        <f t="shared" si="12"/>
        <v>2024-11</v>
      </c>
      <c r="H215" s="10">
        <f>VLOOKUP(B215, Price_List!$A$3:$C$62, 2, FALSE)</f>
        <v>800</v>
      </c>
      <c r="I215" s="10">
        <f>VLOOKUP(B215, Price_List!$A$3:$C$62, 3, FALSE)</f>
        <v>1000</v>
      </c>
      <c r="J215" s="10" t="str">
        <f t="shared" si="13"/>
        <v>Within Range</v>
      </c>
      <c r="K215" s="10">
        <f t="shared" si="14"/>
        <v>0</v>
      </c>
    </row>
    <row r="216" spans="1:11" ht="15.6" x14ac:dyDescent="0.3">
      <c r="A216" s="9">
        <v>45611</v>
      </c>
      <c r="B216" s="15" t="s">
        <v>106</v>
      </c>
      <c r="C216" s="13">
        <v>250</v>
      </c>
      <c r="D216" s="3" t="s">
        <v>8</v>
      </c>
      <c r="E216" s="3" t="s">
        <v>7</v>
      </c>
      <c r="F216" s="10" t="str">
        <f t="shared" si="15"/>
        <v>Nov-2024</v>
      </c>
      <c r="G216" t="str">
        <f t="shared" si="12"/>
        <v>2024-11</v>
      </c>
      <c r="H216" s="10">
        <f>VLOOKUP(B216, Price_List!$A$3:$C$62, 2, FALSE)</f>
        <v>300</v>
      </c>
      <c r="I216" s="10">
        <f>VLOOKUP(B216, Price_List!$A$3:$C$62, 3, FALSE)</f>
        <v>300</v>
      </c>
      <c r="J216" s="10" t="str">
        <f t="shared" si="13"/>
        <v>Below Min(Bargain)</v>
      </c>
      <c r="K216" s="10">
        <f t="shared" si="14"/>
        <v>50</v>
      </c>
    </row>
    <row r="217" spans="1:11" ht="15.6" x14ac:dyDescent="0.3">
      <c r="A217" s="9">
        <v>45611</v>
      </c>
      <c r="B217" s="15" t="s">
        <v>118</v>
      </c>
      <c r="C217" s="13">
        <v>250</v>
      </c>
      <c r="D217" s="3" t="s">
        <v>8</v>
      </c>
      <c r="E217" s="3" t="s">
        <v>7</v>
      </c>
      <c r="F217" s="10" t="str">
        <f t="shared" si="15"/>
        <v>Nov-2024</v>
      </c>
      <c r="G217" t="str">
        <f t="shared" si="12"/>
        <v>2024-11</v>
      </c>
      <c r="H217" s="10">
        <f>VLOOKUP(B217, Price_List!$A$3:$C$62, 2, FALSE)</f>
        <v>300</v>
      </c>
      <c r="I217" s="10">
        <f>VLOOKUP(B217, Price_List!$A$3:$C$62, 3, FALSE)</f>
        <v>300</v>
      </c>
      <c r="J217" s="10" t="str">
        <f t="shared" si="13"/>
        <v>Below Min(Bargain)</v>
      </c>
      <c r="K217" s="10">
        <f t="shared" si="14"/>
        <v>50</v>
      </c>
    </row>
    <row r="218" spans="1:11" ht="15.6" x14ac:dyDescent="0.3">
      <c r="A218" s="9">
        <v>45612</v>
      </c>
      <c r="B218" s="15" t="s">
        <v>104</v>
      </c>
      <c r="C218" s="13">
        <v>450</v>
      </c>
      <c r="D218" s="3" t="s">
        <v>8</v>
      </c>
      <c r="E218" s="3" t="s">
        <v>7</v>
      </c>
      <c r="F218" s="10" t="str">
        <f t="shared" si="15"/>
        <v>Nov-2024</v>
      </c>
      <c r="G218" t="str">
        <f t="shared" si="12"/>
        <v>2024-11</v>
      </c>
      <c r="H218" s="10">
        <f>VLOOKUP(B218, Price_List!$A$3:$C$62, 2, FALSE)</f>
        <v>500</v>
      </c>
      <c r="I218" s="10">
        <f>VLOOKUP(B218, Price_List!$A$3:$C$62, 3, FALSE)</f>
        <v>500</v>
      </c>
      <c r="J218" s="10" t="str">
        <f t="shared" si="13"/>
        <v>Below Min(Bargain)</v>
      </c>
      <c r="K218" s="10">
        <f t="shared" si="14"/>
        <v>50</v>
      </c>
    </row>
    <row r="219" spans="1:11" ht="15.6" x14ac:dyDescent="0.3">
      <c r="A219" s="9">
        <v>45612</v>
      </c>
      <c r="B219" s="15" t="s">
        <v>104</v>
      </c>
      <c r="C219" s="13">
        <v>450</v>
      </c>
      <c r="D219" s="3" t="s">
        <v>8</v>
      </c>
      <c r="E219" s="3" t="s">
        <v>7</v>
      </c>
      <c r="F219" s="10" t="str">
        <f t="shared" si="15"/>
        <v>Nov-2024</v>
      </c>
      <c r="G219" t="str">
        <f t="shared" si="12"/>
        <v>2024-11</v>
      </c>
      <c r="H219" s="10">
        <f>VLOOKUP(B219, Price_List!$A$3:$C$62, 2, FALSE)</f>
        <v>500</v>
      </c>
      <c r="I219" s="10">
        <f>VLOOKUP(B219, Price_List!$A$3:$C$62, 3, FALSE)</f>
        <v>500</v>
      </c>
      <c r="J219" s="10" t="str">
        <f t="shared" si="13"/>
        <v>Below Min(Bargain)</v>
      </c>
      <c r="K219" s="10">
        <f t="shared" si="14"/>
        <v>50</v>
      </c>
    </row>
    <row r="220" spans="1:11" ht="15.6" x14ac:dyDescent="0.3">
      <c r="A220" s="9">
        <v>45612</v>
      </c>
      <c r="B220" s="3" t="s">
        <v>5</v>
      </c>
      <c r="C220" s="13">
        <v>50</v>
      </c>
      <c r="D220" s="3" t="s">
        <v>8</v>
      </c>
      <c r="E220" s="3" t="s">
        <v>7</v>
      </c>
      <c r="F220" s="10" t="str">
        <f t="shared" si="15"/>
        <v>Nov-2024</v>
      </c>
      <c r="G220" t="str">
        <f t="shared" si="12"/>
        <v>2024-11</v>
      </c>
      <c r="H220" s="10">
        <f>VLOOKUP(B220, Price_List!$A$3:$C$62, 2, FALSE)</f>
        <v>60</v>
      </c>
      <c r="I220" s="10">
        <f>VLOOKUP(B220, Price_List!$A$3:$C$62, 3, FALSE)</f>
        <v>70</v>
      </c>
      <c r="J220" s="10" t="str">
        <f t="shared" si="13"/>
        <v>Below Min(Bargain)</v>
      </c>
      <c r="K220" s="10">
        <f t="shared" si="14"/>
        <v>10</v>
      </c>
    </row>
    <row r="221" spans="1:11" ht="15.6" x14ac:dyDescent="0.3">
      <c r="A221" s="9">
        <v>45614</v>
      </c>
      <c r="B221" s="15" t="s">
        <v>103</v>
      </c>
      <c r="C221" s="13">
        <v>700</v>
      </c>
      <c r="D221" s="3" t="s">
        <v>8</v>
      </c>
      <c r="E221" s="3" t="s">
        <v>7</v>
      </c>
      <c r="F221" s="10" t="str">
        <f t="shared" si="15"/>
        <v>Nov-2024</v>
      </c>
      <c r="G221" t="str">
        <f t="shared" si="12"/>
        <v>2024-11</v>
      </c>
      <c r="H221" s="10">
        <f>VLOOKUP(B221, Price_List!$A$3:$C$62, 2, FALSE)</f>
        <v>800</v>
      </c>
      <c r="I221" s="10">
        <f>VLOOKUP(B221, Price_List!$A$3:$C$62, 3, FALSE)</f>
        <v>800</v>
      </c>
      <c r="J221" s="10" t="str">
        <f t="shared" si="13"/>
        <v>Below Min(Bargain)</v>
      </c>
      <c r="K221" s="10">
        <f t="shared" si="14"/>
        <v>100</v>
      </c>
    </row>
    <row r="222" spans="1:11" ht="15.6" x14ac:dyDescent="0.3">
      <c r="A222" s="9">
        <v>45614</v>
      </c>
      <c r="B222" s="3" t="s">
        <v>12</v>
      </c>
      <c r="C222" s="13">
        <v>270</v>
      </c>
      <c r="D222" s="3" t="s">
        <v>8</v>
      </c>
      <c r="E222" s="3" t="s">
        <v>7</v>
      </c>
      <c r="F222" s="10" t="str">
        <f t="shared" si="15"/>
        <v>Nov-2024</v>
      </c>
      <c r="G222" t="str">
        <f t="shared" si="12"/>
        <v>2024-11</v>
      </c>
      <c r="H222" s="10">
        <f>VLOOKUP(B222, Price_List!$A$3:$C$62, 2, FALSE)</f>
        <v>350</v>
      </c>
      <c r="I222" s="10">
        <f>VLOOKUP(B222, Price_List!$A$3:$C$62, 3, FALSE)</f>
        <v>500</v>
      </c>
      <c r="J222" s="10" t="str">
        <f t="shared" si="13"/>
        <v>Below Min(Bargain)</v>
      </c>
      <c r="K222" s="10">
        <f t="shared" si="14"/>
        <v>80</v>
      </c>
    </row>
    <row r="223" spans="1:11" ht="15.6" x14ac:dyDescent="0.3">
      <c r="A223" s="9">
        <v>45615</v>
      </c>
      <c r="B223" s="3" t="s">
        <v>5</v>
      </c>
      <c r="C223" s="13">
        <v>50</v>
      </c>
      <c r="D223" s="3" t="s">
        <v>6</v>
      </c>
      <c r="E223" s="3" t="s">
        <v>7</v>
      </c>
      <c r="F223" s="10" t="str">
        <f t="shared" si="15"/>
        <v>Nov-2024</v>
      </c>
      <c r="G223" t="str">
        <f t="shared" si="12"/>
        <v>2024-11</v>
      </c>
      <c r="H223" s="10">
        <f>VLOOKUP(B223, Price_List!$A$3:$C$62, 2, FALSE)</f>
        <v>60</v>
      </c>
      <c r="I223" s="10">
        <f>VLOOKUP(B223, Price_List!$A$3:$C$62, 3, FALSE)</f>
        <v>70</v>
      </c>
      <c r="J223" s="10" t="str">
        <f t="shared" si="13"/>
        <v>Below Min(Bargain)</v>
      </c>
      <c r="K223" s="10">
        <f t="shared" si="14"/>
        <v>10</v>
      </c>
    </row>
    <row r="224" spans="1:11" ht="15.6" x14ac:dyDescent="0.3">
      <c r="A224" s="9">
        <v>45616</v>
      </c>
      <c r="B224" s="3" t="s">
        <v>5</v>
      </c>
      <c r="C224" s="13">
        <v>70</v>
      </c>
      <c r="D224" s="3" t="s">
        <v>8</v>
      </c>
      <c r="E224" s="3" t="s">
        <v>7</v>
      </c>
      <c r="F224" s="10" t="str">
        <f t="shared" si="15"/>
        <v>Nov-2024</v>
      </c>
      <c r="G224" t="str">
        <f t="shared" si="12"/>
        <v>2024-11</v>
      </c>
      <c r="H224" s="10">
        <f>VLOOKUP(B224, Price_List!$A$3:$C$62, 2, FALSE)</f>
        <v>60</v>
      </c>
      <c r="I224" s="10">
        <f>VLOOKUP(B224, Price_List!$A$3:$C$62, 3, FALSE)</f>
        <v>70</v>
      </c>
      <c r="J224" s="10" t="str">
        <f t="shared" si="13"/>
        <v>Within Range</v>
      </c>
      <c r="K224" s="10">
        <f t="shared" si="14"/>
        <v>0</v>
      </c>
    </row>
    <row r="225" spans="1:11" ht="15.6" x14ac:dyDescent="0.3">
      <c r="A225" s="9">
        <v>45617</v>
      </c>
      <c r="B225" s="3" t="s">
        <v>5</v>
      </c>
      <c r="C225" s="13">
        <v>50</v>
      </c>
      <c r="D225" s="3" t="s">
        <v>6</v>
      </c>
      <c r="E225" s="3" t="s">
        <v>7</v>
      </c>
      <c r="F225" s="10" t="str">
        <f t="shared" si="15"/>
        <v>Nov-2024</v>
      </c>
      <c r="G225" t="str">
        <f t="shared" si="12"/>
        <v>2024-11</v>
      </c>
      <c r="H225" s="10">
        <f>VLOOKUP(B225, Price_List!$A$3:$C$62, 2, FALSE)</f>
        <v>60</v>
      </c>
      <c r="I225" s="10">
        <f>VLOOKUP(B225, Price_List!$A$3:$C$62, 3, FALSE)</f>
        <v>70</v>
      </c>
      <c r="J225" s="10" t="str">
        <f t="shared" si="13"/>
        <v>Below Min(Bargain)</v>
      </c>
      <c r="K225" s="10">
        <f t="shared" si="14"/>
        <v>10</v>
      </c>
    </row>
    <row r="226" spans="1:11" ht="15.6" x14ac:dyDescent="0.3">
      <c r="A226" s="9">
        <v>45618</v>
      </c>
      <c r="B226" s="3" t="s">
        <v>20</v>
      </c>
      <c r="C226" s="13">
        <v>900</v>
      </c>
      <c r="D226" s="3" t="s">
        <v>8</v>
      </c>
      <c r="E226" s="3" t="s">
        <v>7</v>
      </c>
      <c r="F226" s="10" t="str">
        <f t="shared" si="15"/>
        <v>Nov-2024</v>
      </c>
      <c r="G226" t="str">
        <f t="shared" si="12"/>
        <v>2024-11</v>
      </c>
      <c r="H226" s="10">
        <f>VLOOKUP(B226, Price_List!$A$3:$C$62, 2, FALSE)</f>
        <v>1000</v>
      </c>
      <c r="I226" s="10">
        <f>VLOOKUP(B226, Price_List!$A$3:$C$62, 3, FALSE)</f>
        <v>1000</v>
      </c>
      <c r="J226" s="10" t="str">
        <f t="shared" si="13"/>
        <v>Below Min(Bargain)</v>
      </c>
      <c r="K226" s="10">
        <f t="shared" si="14"/>
        <v>100</v>
      </c>
    </row>
    <row r="227" spans="1:11" ht="15.6" x14ac:dyDescent="0.3">
      <c r="A227" s="9">
        <v>45618</v>
      </c>
      <c r="B227" s="3" t="s">
        <v>5</v>
      </c>
      <c r="C227" s="13">
        <v>50</v>
      </c>
      <c r="D227" s="3" t="s">
        <v>8</v>
      </c>
      <c r="E227" s="3" t="s">
        <v>7</v>
      </c>
      <c r="F227" s="10" t="str">
        <f t="shared" si="15"/>
        <v>Nov-2024</v>
      </c>
      <c r="G227" t="str">
        <f t="shared" si="12"/>
        <v>2024-11</v>
      </c>
      <c r="H227" s="10">
        <f>VLOOKUP(B227, Price_List!$A$3:$C$62, 2, FALSE)</f>
        <v>60</v>
      </c>
      <c r="I227" s="10">
        <f>VLOOKUP(B227, Price_List!$A$3:$C$62, 3, FALSE)</f>
        <v>70</v>
      </c>
      <c r="J227" s="10" t="str">
        <f t="shared" si="13"/>
        <v>Below Min(Bargain)</v>
      </c>
      <c r="K227" s="10">
        <f t="shared" si="14"/>
        <v>10</v>
      </c>
    </row>
    <row r="228" spans="1:11" ht="15.6" x14ac:dyDescent="0.3">
      <c r="A228" s="9">
        <v>45621</v>
      </c>
      <c r="B228" s="3" t="s">
        <v>20</v>
      </c>
      <c r="C228" s="13">
        <v>900</v>
      </c>
      <c r="D228" s="3" t="s">
        <v>6</v>
      </c>
      <c r="E228" s="3" t="s">
        <v>7</v>
      </c>
      <c r="F228" s="10" t="str">
        <f t="shared" si="15"/>
        <v>Nov-2024</v>
      </c>
      <c r="G228" t="str">
        <f t="shared" si="12"/>
        <v>2024-11</v>
      </c>
      <c r="H228" s="10">
        <f>VLOOKUP(B228, Price_List!$A$3:$C$62, 2, FALSE)</f>
        <v>1000</v>
      </c>
      <c r="I228" s="10">
        <f>VLOOKUP(B228, Price_List!$A$3:$C$62, 3, FALSE)</f>
        <v>1000</v>
      </c>
      <c r="J228" s="10" t="str">
        <f t="shared" si="13"/>
        <v>Below Min(Bargain)</v>
      </c>
      <c r="K228" s="10">
        <f t="shared" si="14"/>
        <v>100</v>
      </c>
    </row>
    <row r="229" spans="1:11" ht="15.6" x14ac:dyDescent="0.3">
      <c r="A229" s="9">
        <v>45621</v>
      </c>
      <c r="B229" s="3" t="s">
        <v>5</v>
      </c>
      <c r="C229" s="13">
        <v>50</v>
      </c>
      <c r="D229" s="3" t="s">
        <v>8</v>
      </c>
      <c r="E229" s="3" t="s">
        <v>7</v>
      </c>
      <c r="F229" s="10" t="str">
        <f t="shared" si="15"/>
        <v>Nov-2024</v>
      </c>
      <c r="G229" t="str">
        <f t="shared" si="12"/>
        <v>2024-11</v>
      </c>
      <c r="H229" s="10">
        <f>VLOOKUP(B229, Price_List!$A$3:$C$62, 2, FALSE)</f>
        <v>60</v>
      </c>
      <c r="I229" s="10">
        <f>VLOOKUP(B229, Price_List!$A$3:$C$62, 3, FALSE)</f>
        <v>70</v>
      </c>
      <c r="J229" s="10" t="str">
        <f t="shared" si="13"/>
        <v>Below Min(Bargain)</v>
      </c>
      <c r="K229" s="10">
        <f t="shared" si="14"/>
        <v>10</v>
      </c>
    </row>
    <row r="230" spans="1:11" ht="15.6" x14ac:dyDescent="0.3">
      <c r="A230" s="9">
        <v>45623</v>
      </c>
      <c r="B230" s="3" t="s">
        <v>11</v>
      </c>
      <c r="C230" s="13">
        <v>350</v>
      </c>
      <c r="D230" s="3" t="s">
        <v>8</v>
      </c>
      <c r="E230" s="3" t="s">
        <v>7</v>
      </c>
      <c r="F230" s="10" t="str">
        <f t="shared" si="15"/>
        <v>Nov-2024</v>
      </c>
      <c r="G230" t="str">
        <f t="shared" si="12"/>
        <v>2024-11</v>
      </c>
      <c r="H230" s="10">
        <f>VLOOKUP(B230, Price_List!$A$3:$C$62, 2, FALSE)</f>
        <v>350</v>
      </c>
      <c r="I230" s="10">
        <f>VLOOKUP(B230, Price_List!$A$3:$C$62, 3, FALSE)</f>
        <v>700</v>
      </c>
      <c r="J230" s="10" t="str">
        <f t="shared" si="13"/>
        <v>Within Range</v>
      </c>
      <c r="K230" s="10">
        <f t="shared" si="14"/>
        <v>0</v>
      </c>
    </row>
    <row r="231" spans="1:11" ht="15.6" x14ac:dyDescent="0.3">
      <c r="A231" s="9">
        <v>45623</v>
      </c>
      <c r="B231" s="3" t="s">
        <v>11</v>
      </c>
      <c r="C231" s="13">
        <v>350</v>
      </c>
      <c r="D231" s="3" t="s">
        <v>8</v>
      </c>
      <c r="E231" s="3" t="s">
        <v>7</v>
      </c>
      <c r="F231" s="10" t="str">
        <f t="shared" si="15"/>
        <v>Nov-2024</v>
      </c>
      <c r="G231" t="str">
        <f t="shared" si="12"/>
        <v>2024-11</v>
      </c>
      <c r="H231" s="10">
        <f>VLOOKUP(B231, Price_List!$A$3:$C$62, 2, FALSE)</f>
        <v>350</v>
      </c>
      <c r="I231" s="10">
        <f>VLOOKUP(B231, Price_List!$A$3:$C$62, 3, FALSE)</f>
        <v>700</v>
      </c>
      <c r="J231" s="10" t="str">
        <f t="shared" si="13"/>
        <v>Within Range</v>
      </c>
      <c r="K231" s="10">
        <f t="shared" si="14"/>
        <v>0</v>
      </c>
    </row>
    <row r="232" spans="1:11" ht="15.6" x14ac:dyDescent="0.3">
      <c r="A232" s="9">
        <v>45623</v>
      </c>
      <c r="B232" s="3" t="s">
        <v>11</v>
      </c>
      <c r="C232" s="13">
        <v>350</v>
      </c>
      <c r="D232" s="3" t="s">
        <v>8</v>
      </c>
      <c r="E232" s="3" t="s">
        <v>7</v>
      </c>
      <c r="F232" s="10" t="str">
        <f t="shared" si="15"/>
        <v>Nov-2024</v>
      </c>
      <c r="G232" t="str">
        <f t="shared" si="12"/>
        <v>2024-11</v>
      </c>
      <c r="H232" s="10">
        <f>VLOOKUP(B232, Price_List!$A$3:$C$62, 2, FALSE)</f>
        <v>350</v>
      </c>
      <c r="I232" s="10">
        <f>VLOOKUP(B232, Price_List!$A$3:$C$62, 3, FALSE)</f>
        <v>700</v>
      </c>
      <c r="J232" s="10" t="str">
        <f t="shared" si="13"/>
        <v>Within Range</v>
      </c>
      <c r="K232" s="10">
        <f t="shared" si="14"/>
        <v>0</v>
      </c>
    </row>
    <row r="233" spans="1:11" ht="15.6" x14ac:dyDescent="0.3">
      <c r="A233" s="9">
        <v>45625</v>
      </c>
      <c r="B233" s="3" t="s">
        <v>5</v>
      </c>
      <c r="C233" s="13">
        <v>50</v>
      </c>
      <c r="D233" s="3" t="s">
        <v>8</v>
      </c>
      <c r="E233" s="3" t="s">
        <v>7</v>
      </c>
      <c r="F233" s="10" t="str">
        <f t="shared" si="15"/>
        <v>Nov-2024</v>
      </c>
      <c r="G233" t="str">
        <f t="shared" si="12"/>
        <v>2024-11</v>
      </c>
      <c r="H233" s="10">
        <f>VLOOKUP(B233, Price_List!$A$3:$C$62, 2, FALSE)</f>
        <v>60</v>
      </c>
      <c r="I233" s="10">
        <f>VLOOKUP(B233, Price_List!$A$3:$C$62, 3, FALSE)</f>
        <v>70</v>
      </c>
      <c r="J233" s="10" t="str">
        <f t="shared" si="13"/>
        <v>Below Min(Bargain)</v>
      </c>
      <c r="K233" s="10">
        <f t="shared" si="14"/>
        <v>10</v>
      </c>
    </row>
    <row r="234" spans="1:11" ht="15.6" x14ac:dyDescent="0.3">
      <c r="A234" s="9">
        <v>45625</v>
      </c>
      <c r="B234" s="3" t="s">
        <v>44</v>
      </c>
      <c r="C234" s="13">
        <v>500</v>
      </c>
      <c r="D234" s="3" t="s">
        <v>6</v>
      </c>
      <c r="E234" s="3" t="s">
        <v>7</v>
      </c>
      <c r="F234" s="10" t="str">
        <f t="shared" si="15"/>
        <v>Nov-2024</v>
      </c>
      <c r="G234" t="str">
        <f t="shared" si="12"/>
        <v>2024-11</v>
      </c>
      <c r="H234" s="10">
        <f>VLOOKUP(B234, Price_List!$A$3:$C$62, 2, FALSE)</f>
        <v>300</v>
      </c>
      <c r="I234" s="10">
        <f>VLOOKUP(B234, Price_List!$A$3:$C$62, 3, FALSE)</f>
        <v>500</v>
      </c>
      <c r="J234" s="10" t="str">
        <f t="shared" si="13"/>
        <v>Within Range</v>
      </c>
      <c r="K234" s="10">
        <f t="shared" si="14"/>
        <v>0</v>
      </c>
    </row>
    <row r="235" spans="1:11" ht="15.6" x14ac:dyDescent="0.3">
      <c r="A235" s="9">
        <v>45629</v>
      </c>
      <c r="B235" s="3" t="s">
        <v>44</v>
      </c>
      <c r="C235" s="13">
        <v>500</v>
      </c>
      <c r="D235" s="3" t="s">
        <v>8</v>
      </c>
      <c r="E235" s="3" t="s">
        <v>7</v>
      </c>
      <c r="F235" s="10" t="str">
        <f t="shared" si="15"/>
        <v>Dec-2024</v>
      </c>
      <c r="G235" t="str">
        <f t="shared" si="12"/>
        <v>2024-12</v>
      </c>
      <c r="H235" s="10">
        <f>VLOOKUP(B235, Price_List!$A$3:$C$62, 2, FALSE)</f>
        <v>300</v>
      </c>
      <c r="I235" s="10">
        <f>VLOOKUP(B235, Price_List!$A$3:$C$62, 3, FALSE)</f>
        <v>500</v>
      </c>
      <c r="J235" s="10" t="str">
        <f t="shared" si="13"/>
        <v>Within Range</v>
      </c>
      <c r="K235" s="10">
        <f t="shared" si="14"/>
        <v>0</v>
      </c>
    </row>
    <row r="236" spans="1:11" ht="15.6" x14ac:dyDescent="0.3">
      <c r="A236" s="9">
        <v>45630</v>
      </c>
      <c r="B236" s="3" t="s">
        <v>5</v>
      </c>
      <c r="C236" s="13">
        <v>70</v>
      </c>
      <c r="D236" s="3" t="s">
        <v>8</v>
      </c>
      <c r="E236" s="3" t="s">
        <v>7</v>
      </c>
      <c r="F236" s="10" t="str">
        <f t="shared" si="15"/>
        <v>Dec-2024</v>
      </c>
      <c r="G236" t="str">
        <f t="shared" si="12"/>
        <v>2024-12</v>
      </c>
      <c r="H236" s="10">
        <f>VLOOKUP(B236, Price_List!$A$3:$C$62, 2, FALSE)</f>
        <v>60</v>
      </c>
      <c r="I236" s="10">
        <f>VLOOKUP(B236, Price_List!$A$3:$C$62, 3, FALSE)</f>
        <v>70</v>
      </c>
      <c r="J236" s="10" t="str">
        <f t="shared" si="13"/>
        <v>Within Range</v>
      </c>
      <c r="K236" s="10">
        <f t="shared" si="14"/>
        <v>0</v>
      </c>
    </row>
    <row r="237" spans="1:11" ht="15.6" x14ac:dyDescent="0.3">
      <c r="A237" s="9">
        <v>45631</v>
      </c>
      <c r="B237" s="3" t="s">
        <v>14</v>
      </c>
      <c r="C237" s="13">
        <v>750</v>
      </c>
      <c r="D237" s="3" t="s">
        <v>8</v>
      </c>
      <c r="E237" s="3" t="s">
        <v>7</v>
      </c>
      <c r="F237" s="10" t="str">
        <f t="shared" si="15"/>
        <v>Dec-2024</v>
      </c>
      <c r="G237" t="str">
        <f t="shared" si="12"/>
        <v>2024-12</v>
      </c>
      <c r="H237" s="10">
        <f>VLOOKUP(B237, Price_List!$A$3:$C$62, 2, FALSE)</f>
        <v>800</v>
      </c>
      <c r="I237" s="10">
        <f>VLOOKUP(B237, Price_List!$A$3:$C$62, 3, FALSE)</f>
        <v>1000</v>
      </c>
      <c r="J237" s="10" t="str">
        <f t="shared" si="13"/>
        <v>Below Min(Bargain)</v>
      </c>
      <c r="K237" s="10">
        <f t="shared" si="14"/>
        <v>50</v>
      </c>
    </row>
    <row r="238" spans="1:11" ht="15.6" x14ac:dyDescent="0.3">
      <c r="A238" s="9">
        <v>45632</v>
      </c>
      <c r="B238" s="3" t="s">
        <v>36</v>
      </c>
      <c r="C238" s="13">
        <v>200</v>
      </c>
      <c r="D238" s="3" t="s">
        <v>6</v>
      </c>
      <c r="E238" s="3" t="s">
        <v>7</v>
      </c>
      <c r="F238" s="10" t="str">
        <f t="shared" si="15"/>
        <v>Dec-2024</v>
      </c>
      <c r="G238" t="str">
        <f t="shared" si="12"/>
        <v>2024-12</v>
      </c>
      <c r="H238" s="10">
        <f>VLOOKUP(B238, Price_List!$A$3:$C$62, 2, FALSE)</f>
        <v>70</v>
      </c>
      <c r="I238" s="10">
        <f>VLOOKUP(B238, Price_List!$A$3:$C$62, 3, FALSE)</f>
        <v>140</v>
      </c>
      <c r="J238" s="10" t="str">
        <f t="shared" si="13"/>
        <v>Above Max</v>
      </c>
      <c r="K238" s="10">
        <f t="shared" si="14"/>
        <v>0</v>
      </c>
    </row>
    <row r="239" spans="1:11" ht="15.6" x14ac:dyDescent="0.3">
      <c r="A239" s="9">
        <v>45633</v>
      </c>
      <c r="B239" s="3" t="s">
        <v>36</v>
      </c>
      <c r="C239" s="13">
        <v>100</v>
      </c>
      <c r="D239" s="3" t="s">
        <v>8</v>
      </c>
      <c r="E239" s="3" t="s">
        <v>7</v>
      </c>
      <c r="F239" s="10" t="str">
        <f t="shared" si="15"/>
        <v>Dec-2024</v>
      </c>
      <c r="G239" t="str">
        <f t="shared" si="12"/>
        <v>2024-12</v>
      </c>
      <c r="H239" s="10">
        <f>VLOOKUP(B239, Price_List!$A$3:$C$62, 2, FALSE)</f>
        <v>70</v>
      </c>
      <c r="I239" s="10">
        <f>VLOOKUP(B239, Price_List!$A$3:$C$62, 3, FALSE)</f>
        <v>140</v>
      </c>
      <c r="J239" s="10" t="str">
        <f t="shared" si="13"/>
        <v>Within Range</v>
      </c>
      <c r="K239" s="10">
        <f t="shared" si="14"/>
        <v>0</v>
      </c>
    </row>
    <row r="240" spans="1:11" ht="15.6" x14ac:dyDescent="0.3">
      <c r="A240" s="9">
        <v>45633</v>
      </c>
      <c r="B240" s="15" t="s">
        <v>110</v>
      </c>
      <c r="C240" s="13">
        <v>900</v>
      </c>
      <c r="D240" s="3" t="s">
        <v>8</v>
      </c>
      <c r="E240" s="3" t="s">
        <v>7</v>
      </c>
      <c r="F240" s="10" t="str">
        <f t="shared" si="15"/>
        <v>Dec-2024</v>
      </c>
      <c r="G240" t="str">
        <f t="shared" si="12"/>
        <v>2024-12</v>
      </c>
      <c r="H240" s="10">
        <f>VLOOKUP(B240, Price_List!$A$3:$C$62, 2, FALSE)</f>
        <v>900</v>
      </c>
      <c r="I240" s="10">
        <f>VLOOKUP(B240, Price_List!$A$3:$C$62, 3, FALSE)</f>
        <v>900</v>
      </c>
      <c r="J240" s="10" t="str">
        <f t="shared" si="13"/>
        <v>Within Range</v>
      </c>
      <c r="K240" s="10">
        <f t="shared" si="14"/>
        <v>0</v>
      </c>
    </row>
    <row r="241" spans="1:11" ht="15.6" x14ac:dyDescent="0.3">
      <c r="A241" s="9">
        <v>45633</v>
      </c>
      <c r="B241" s="15" t="s">
        <v>103</v>
      </c>
      <c r="C241" s="13">
        <v>700</v>
      </c>
      <c r="D241" s="3" t="s">
        <v>6</v>
      </c>
      <c r="E241" s="3" t="s">
        <v>7</v>
      </c>
      <c r="F241" s="10" t="str">
        <f t="shared" si="15"/>
        <v>Dec-2024</v>
      </c>
      <c r="G241" t="str">
        <f t="shared" si="12"/>
        <v>2024-12</v>
      </c>
      <c r="H241" s="10">
        <f>VLOOKUP(B241, Price_List!$A$3:$C$62, 2, FALSE)</f>
        <v>800</v>
      </c>
      <c r="I241" s="10">
        <f>VLOOKUP(B241, Price_List!$A$3:$C$62, 3, FALSE)</f>
        <v>800</v>
      </c>
      <c r="J241" s="10" t="str">
        <f t="shared" si="13"/>
        <v>Below Min(Bargain)</v>
      </c>
      <c r="K241" s="10">
        <f t="shared" si="14"/>
        <v>100</v>
      </c>
    </row>
    <row r="242" spans="1:11" ht="15.6" x14ac:dyDescent="0.3">
      <c r="A242" s="9">
        <v>45636</v>
      </c>
      <c r="B242" s="3" t="s">
        <v>36</v>
      </c>
      <c r="C242" s="13">
        <v>350</v>
      </c>
      <c r="D242" s="3" t="s">
        <v>8</v>
      </c>
      <c r="E242" s="3" t="s">
        <v>7</v>
      </c>
      <c r="F242" s="10" t="str">
        <f t="shared" si="15"/>
        <v>Dec-2024</v>
      </c>
      <c r="G242" t="str">
        <f t="shared" si="12"/>
        <v>2024-12</v>
      </c>
      <c r="H242" s="10">
        <f>VLOOKUP(B242, Price_List!$A$3:$C$62, 2, FALSE)</f>
        <v>70</v>
      </c>
      <c r="I242" s="10">
        <f>VLOOKUP(B242, Price_List!$A$3:$C$62, 3, FALSE)</f>
        <v>140</v>
      </c>
      <c r="J242" s="10" t="str">
        <f t="shared" si="13"/>
        <v>Above Max</v>
      </c>
      <c r="K242" s="10">
        <f t="shared" si="14"/>
        <v>0</v>
      </c>
    </row>
    <row r="243" spans="1:11" ht="15.6" x14ac:dyDescent="0.3">
      <c r="A243" s="9">
        <v>45637</v>
      </c>
      <c r="B243" s="3" t="s">
        <v>36</v>
      </c>
      <c r="C243" s="13">
        <v>250</v>
      </c>
      <c r="D243" s="3" t="s">
        <v>8</v>
      </c>
      <c r="E243" s="3" t="s">
        <v>7</v>
      </c>
      <c r="F243" s="10" t="str">
        <f t="shared" si="15"/>
        <v>Dec-2024</v>
      </c>
      <c r="G243" t="str">
        <f t="shared" si="12"/>
        <v>2024-12</v>
      </c>
      <c r="H243" s="10">
        <f>VLOOKUP(B243, Price_List!$A$3:$C$62, 2, FALSE)</f>
        <v>70</v>
      </c>
      <c r="I243" s="10">
        <f>VLOOKUP(B243, Price_List!$A$3:$C$62, 3, FALSE)</f>
        <v>140</v>
      </c>
      <c r="J243" s="10" t="str">
        <f t="shared" si="13"/>
        <v>Above Max</v>
      </c>
      <c r="K243" s="10">
        <f t="shared" si="14"/>
        <v>0</v>
      </c>
    </row>
    <row r="244" spans="1:11" ht="15.6" x14ac:dyDescent="0.3">
      <c r="A244" s="9">
        <v>45639</v>
      </c>
      <c r="B244" s="15" t="s">
        <v>110</v>
      </c>
      <c r="C244" s="13">
        <v>800</v>
      </c>
      <c r="D244" s="3" t="s">
        <v>8</v>
      </c>
      <c r="E244" s="3" t="s">
        <v>7</v>
      </c>
      <c r="F244" s="10" t="str">
        <f t="shared" si="15"/>
        <v>Dec-2024</v>
      </c>
      <c r="G244" t="str">
        <f t="shared" si="12"/>
        <v>2024-12</v>
      </c>
      <c r="H244" s="10">
        <f>VLOOKUP(B244, Price_List!$A$3:$C$62, 2, FALSE)</f>
        <v>900</v>
      </c>
      <c r="I244" s="10">
        <f>VLOOKUP(B244, Price_List!$A$3:$C$62, 3, FALSE)</f>
        <v>900</v>
      </c>
      <c r="J244" s="10" t="str">
        <f t="shared" si="13"/>
        <v>Below Min(Bargain)</v>
      </c>
      <c r="K244" s="10">
        <f t="shared" si="14"/>
        <v>100</v>
      </c>
    </row>
    <row r="245" spans="1:11" ht="15.6" x14ac:dyDescent="0.3">
      <c r="A245" s="9">
        <v>45639</v>
      </c>
      <c r="B245" s="15" t="s">
        <v>103</v>
      </c>
      <c r="C245" s="13">
        <v>800</v>
      </c>
      <c r="D245" s="3" t="s">
        <v>8</v>
      </c>
      <c r="E245" s="3" t="s">
        <v>7</v>
      </c>
      <c r="F245" s="10" t="str">
        <f t="shared" si="15"/>
        <v>Dec-2024</v>
      </c>
      <c r="G245" t="str">
        <f t="shared" si="12"/>
        <v>2024-12</v>
      </c>
      <c r="H245" s="10">
        <f>VLOOKUP(B245, Price_List!$A$3:$C$62, 2, FALSE)</f>
        <v>800</v>
      </c>
      <c r="I245" s="10">
        <f>VLOOKUP(B245, Price_List!$A$3:$C$62, 3, FALSE)</f>
        <v>800</v>
      </c>
      <c r="J245" s="10" t="str">
        <f t="shared" si="13"/>
        <v>Within Range</v>
      </c>
      <c r="K245" s="10">
        <f t="shared" si="14"/>
        <v>0</v>
      </c>
    </row>
    <row r="246" spans="1:11" ht="15.6" x14ac:dyDescent="0.3">
      <c r="A246" s="9">
        <v>45639</v>
      </c>
      <c r="B246" s="3" t="s">
        <v>5</v>
      </c>
      <c r="C246" s="13">
        <v>90</v>
      </c>
      <c r="D246" s="3" t="s">
        <v>8</v>
      </c>
      <c r="E246" s="3" t="s">
        <v>7</v>
      </c>
      <c r="F246" s="10" t="str">
        <f t="shared" si="15"/>
        <v>Dec-2024</v>
      </c>
      <c r="G246" t="str">
        <f t="shared" si="12"/>
        <v>2024-12</v>
      </c>
      <c r="H246" s="10">
        <f>VLOOKUP(B246, Price_List!$A$3:$C$62, 2, FALSE)</f>
        <v>60</v>
      </c>
      <c r="I246" s="10">
        <f>VLOOKUP(B246, Price_List!$A$3:$C$62, 3, FALSE)</f>
        <v>70</v>
      </c>
      <c r="J246" s="10" t="str">
        <f t="shared" si="13"/>
        <v>Above Max</v>
      </c>
      <c r="K246" s="10">
        <f t="shared" si="14"/>
        <v>0</v>
      </c>
    </row>
    <row r="247" spans="1:11" ht="15.6" x14ac:dyDescent="0.3">
      <c r="A247" s="9">
        <v>45643</v>
      </c>
      <c r="B247" s="3" t="s">
        <v>14</v>
      </c>
      <c r="C247" s="13">
        <v>1000</v>
      </c>
      <c r="D247" s="3" t="s">
        <v>8</v>
      </c>
      <c r="E247" s="3" t="s">
        <v>7</v>
      </c>
      <c r="F247" s="10" t="str">
        <f t="shared" si="15"/>
        <v>Dec-2024</v>
      </c>
      <c r="G247" t="str">
        <f t="shared" si="12"/>
        <v>2024-12</v>
      </c>
      <c r="H247" s="10">
        <f>VLOOKUP(B247, Price_List!$A$3:$C$62, 2, FALSE)</f>
        <v>800</v>
      </c>
      <c r="I247" s="10">
        <f>VLOOKUP(B247, Price_List!$A$3:$C$62, 3, FALSE)</f>
        <v>1000</v>
      </c>
      <c r="J247" s="10" t="str">
        <f t="shared" si="13"/>
        <v>Within Range</v>
      </c>
      <c r="K247" s="10">
        <f t="shared" si="14"/>
        <v>0</v>
      </c>
    </row>
    <row r="248" spans="1:11" ht="15.6" x14ac:dyDescent="0.3">
      <c r="A248" s="9">
        <v>45643</v>
      </c>
      <c r="B248" s="3" t="s">
        <v>52</v>
      </c>
      <c r="C248" s="13">
        <v>150</v>
      </c>
      <c r="D248" s="3" t="s">
        <v>8</v>
      </c>
      <c r="E248" s="3" t="s">
        <v>7</v>
      </c>
      <c r="F248" s="10" t="str">
        <f t="shared" si="15"/>
        <v>Dec-2024</v>
      </c>
      <c r="G248" t="str">
        <f t="shared" si="12"/>
        <v>2024-12</v>
      </c>
      <c r="H248" s="10">
        <f>VLOOKUP(B248, Price_List!$A$3:$C$62, 2, FALSE)</f>
        <v>500</v>
      </c>
      <c r="I248" s="10">
        <f>VLOOKUP(B248, Price_List!$A$3:$C$62, 3, FALSE)</f>
        <v>500</v>
      </c>
      <c r="J248" s="10" t="str">
        <f t="shared" si="13"/>
        <v>Below Min(Bargain)</v>
      </c>
      <c r="K248" s="10">
        <f t="shared" si="14"/>
        <v>350</v>
      </c>
    </row>
    <row r="249" spans="1:11" ht="15.6" x14ac:dyDescent="0.3">
      <c r="A249" s="9">
        <v>45643</v>
      </c>
      <c r="B249" s="3" t="s">
        <v>18</v>
      </c>
      <c r="C249" s="13">
        <v>350</v>
      </c>
      <c r="D249" s="3" t="s">
        <v>8</v>
      </c>
      <c r="E249" s="3" t="s">
        <v>7</v>
      </c>
      <c r="F249" s="10" t="str">
        <f t="shared" si="15"/>
        <v>Dec-2024</v>
      </c>
      <c r="G249" t="str">
        <f t="shared" si="12"/>
        <v>2024-12</v>
      </c>
      <c r="H249" s="10">
        <f>VLOOKUP(B249, Price_List!$A$3:$C$62, 2, FALSE)</f>
        <v>700</v>
      </c>
      <c r="I249" s="10">
        <f>VLOOKUP(B249, Price_List!$A$3:$C$62, 3, FALSE)</f>
        <v>700</v>
      </c>
      <c r="J249" s="10" t="str">
        <f t="shared" si="13"/>
        <v>Below Min(Bargain)</v>
      </c>
      <c r="K249" s="10">
        <f t="shared" si="14"/>
        <v>350</v>
      </c>
    </row>
    <row r="250" spans="1:11" ht="15.6" x14ac:dyDescent="0.3">
      <c r="A250" s="9">
        <v>45644</v>
      </c>
      <c r="B250" s="15" t="s">
        <v>106</v>
      </c>
      <c r="C250" s="13">
        <v>300</v>
      </c>
      <c r="D250" s="3" t="s">
        <v>6</v>
      </c>
      <c r="E250" s="3" t="s">
        <v>7</v>
      </c>
      <c r="F250" s="10" t="str">
        <f t="shared" si="15"/>
        <v>Dec-2024</v>
      </c>
      <c r="G250" t="str">
        <f t="shared" si="12"/>
        <v>2024-12</v>
      </c>
      <c r="H250" s="10">
        <f>VLOOKUP(B250, Price_List!$A$3:$C$62, 2, FALSE)</f>
        <v>300</v>
      </c>
      <c r="I250" s="10">
        <f>VLOOKUP(B250, Price_List!$A$3:$C$62, 3, FALSE)</f>
        <v>300</v>
      </c>
      <c r="J250" s="10" t="str">
        <f t="shared" si="13"/>
        <v>Within Range</v>
      </c>
      <c r="K250" s="10">
        <f t="shared" si="14"/>
        <v>0</v>
      </c>
    </row>
    <row r="251" spans="1:11" ht="15.6" x14ac:dyDescent="0.3">
      <c r="A251" s="9">
        <v>45645</v>
      </c>
      <c r="B251" s="3" t="s">
        <v>36</v>
      </c>
      <c r="C251" s="13">
        <v>100</v>
      </c>
      <c r="D251" s="3" t="s">
        <v>8</v>
      </c>
      <c r="E251" s="3" t="s">
        <v>7</v>
      </c>
      <c r="F251" s="10" t="str">
        <f t="shared" si="15"/>
        <v>Dec-2024</v>
      </c>
      <c r="G251" t="str">
        <f t="shared" si="12"/>
        <v>2024-12</v>
      </c>
      <c r="H251" s="10">
        <f>VLOOKUP(B251, Price_List!$A$3:$C$62, 2, FALSE)</f>
        <v>70</v>
      </c>
      <c r="I251" s="10">
        <f>VLOOKUP(B251, Price_List!$A$3:$C$62, 3, FALSE)</f>
        <v>140</v>
      </c>
      <c r="J251" s="10" t="str">
        <f t="shared" si="13"/>
        <v>Within Range</v>
      </c>
      <c r="K251" s="10">
        <f t="shared" si="14"/>
        <v>0</v>
      </c>
    </row>
    <row r="252" spans="1:11" ht="15.6" x14ac:dyDescent="0.3">
      <c r="A252" s="9">
        <v>45646</v>
      </c>
      <c r="B252" s="3" t="s">
        <v>12</v>
      </c>
      <c r="C252" s="13">
        <v>500</v>
      </c>
      <c r="D252" s="3" t="s">
        <v>8</v>
      </c>
      <c r="E252" s="3" t="s">
        <v>7</v>
      </c>
      <c r="F252" s="10" t="str">
        <f t="shared" si="15"/>
        <v>Dec-2024</v>
      </c>
      <c r="G252" t="str">
        <f t="shared" si="12"/>
        <v>2024-12</v>
      </c>
      <c r="H252" s="10">
        <f>VLOOKUP(B252, Price_List!$A$3:$C$62, 2, FALSE)</f>
        <v>350</v>
      </c>
      <c r="I252" s="10">
        <f>VLOOKUP(B252, Price_List!$A$3:$C$62, 3, FALSE)</f>
        <v>500</v>
      </c>
      <c r="J252" s="10" t="str">
        <f t="shared" si="13"/>
        <v>Within Range</v>
      </c>
      <c r="K252" s="10">
        <f t="shared" si="14"/>
        <v>0</v>
      </c>
    </row>
    <row r="253" spans="1:11" ht="15.6" x14ac:dyDescent="0.3">
      <c r="A253" s="9">
        <v>45647</v>
      </c>
      <c r="B253" s="3" t="s">
        <v>36</v>
      </c>
      <c r="C253" s="13">
        <v>100</v>
      </c>
      <c r="D253" s="3" t="s">
        <v>8</v>
      </c>
      <c r="E253" s="3" t="s">
        <v>7</v>
      </c>
      <c r="F253" s="10" t="str">
        <f t="shared" si="15"/>
        <v>Dec-2024</v>
      </c>
      <c r="G253" t="str">
        <f t="shared" si="12"/>
        <v>2024-12</v>
      </c>
      <c r="H253" s="10">
        <f>VLOOKUP(B253, Price_List!$A$3:$C$62, 2, FALSE)</f>
        <v>70</v>
      </c>
      <c r="I253" s="10">
        <f>VLOOKUP(B253, Price_List!$A$3:$C$62, 3, FALSE)</f>
        <v>140</v>
      </c>
      <c r="J253" s="10" t="str">
        <f t="shared" si="13"/>
        <v>Within Range</v>
      </c>
      <c r="K253" s="10">
        <f t="shared" si="14"/>
        <v>0</v>
      </c>
    </row>
    <row r="254" spans="1:11" ht="15.6" x14ac:dyDescent="0.3">
      <c r="A254" s="9">
        <v>45647</v>
      </c>
      <c r="B254" s="3" t="s">
        <v>18</v>
      </c>
      <c r="C254" s="13">
        <v>550</v>
      </c>
      <c r="D254" s="3" t="s">
        <v>8</v>
      </c>
      <c r="E254" s="3" t="s">
        <v>7</v>
      </c>
      <c r="F254" s="10" t="str">
        <f t="shared" si="15"/>
        <v>Dec-2024</v>
      </c>
      <c r="G254" t="str">
        <f t="shared" si="12"/>
        <v>2024-12</v>
      </c>
      <c r="H254" s="10">
        <f>VLOOKUP(B254, Price_List!$A$3:$C$62, 2, FALSE)</f>
        <v>700</v>
      </c>
      <c r="I254" s="10">
        <f>VLOOKUP(B254, Price_List!$A$3:$C$62, 3, FALSE)</f>
        <v>700</v>
      </c>
      <c r="J254" s="10" t="str">
        <f t="shared" si="13"/>
        <v>Below Min(Bargain)</v>
      </c>
      <c r="K254" s="10">
        <f t="shared" si="14"/>
        <v>150</v>
      </c>
    </row>
    <row r="255" spans="1:11" ht="15.6" x14ac:dyDescent="0.3">
      <c r="A255" s="9">
        <v>45647</v>
      </c>
      <c r="B255" s="15" t="s">
        <v>104</v>
      </c>
      <c r="C255" s="13">
        <v>500</v>
      </c>
      <c r="D255" s="3" t="s">
        <v>8</v>
      </c>
      <c r="E255" s="3" t="s">
        <v>7</v>
      </c>
      <c r="F255" s="10" t="str">
        <f t="shared" si="15"/>
        <v>Dec-2024</v>
      </c>
      <c r="G255" t="str">
        <f t="shared" si="12"/>
        <v>2024-12</v>
      </c>
      <c r="H255" s="10">
        <f>VLOOKUP(B255, Price_List!$A$3:$C$62, 2, FALSE)</f>
        <v>500</v>
      </c>
      <c r="I255" s="10">
        <f>VLOOKUP(B255, Price_List!$A$3:$C$62, 3, FALSE)</f>
        <v>500</v>
      </c>
      <c r="J255" s="10" t="str">
        <f t="shared" si="13"/>
        <v>Within Range</v>
      </c>
      <c r="K255" s="10">
        <f t="shared" si="14"/>
        <v>0</v>
      </c>
    </row>
    <row r="256" spans="1:11" ht="15.6" x14ac:dyDescent="0.3">
      <c r="A256" s="9">
        <v>45648</v>
      </c>
      <c r="B256" s="15" t="s">
        <v>103</v>
      </c>
      <c r="C256" s="13">
        <v>800</v>
      </c>
      <c r="D256" s="3" t="s">
        <v>8</v>
      </c>
      <c r="E256" s="3" t="s">
        <v>7</v>
      </c>
      <c r="F256" s="10" t="str">
        <f t="shared" si="15"/>
        <v>Dec-2024</v>
      </c>
      <c r="G256" t="str">
        <f t="shared" si="12"/>
        <v>2024-12</v>
      </c>
      <c r="H256" s="10">
        <f>VLOOKUP(B256, Price_List!$A$3:$C$62, 2, FALSE)</f>
        <v>800</v>
      </c>
      <c r="I256" s="10">
        <f>VLOOKUP(B256, Price_List!$A$3:$C$62, 3, FALSE)</f>
        <v>800</v>
      </c>
      <c r="J256" s="10" t="str">
        <f t="shared" si="13"/>
        <v>Within Range</v>
      </c>
      <c r="K256" s="10">
        <f t="shared" si="14"/>
        <v>0</v>
      </c>
    </row>
    <row r="257" spans="1:11" ht="15.6" x14ac:dyDescent="0.3">
      <c r="A257" s="9">
        <v>45649</v>
      </c>
      <c r="B257" s="3" t="s">
        <v>5</v>
      </c>
      <c r="C257" s="13">
        <v>70</v>
      </c>
      <c r="D257" s="3" t="s">
        <v>8</v>
      </c>
      <c r="E257" s="3" t="s">
        <v>7</v>
      </c>
      <c r="F257" s="10" t="str">
        <f t="shared" si="15"/>
        <v>Dec-2024</v>
      </c>
      <c r="G257" t="str">
        <f t="shared" si="12"/>
        <v>2024-12</v>
      </c>
      <c r="H257" s="10">
        <f>VLOOKUP(B257, Price_List!$A$3:$C$62, 2, FALSE)</f>
        <v>60</v>
      </c>
      <c r="I257" s="10">
        <f>VLOOKUP(B257, Price_List!$A$3:$C$62, 3, FALSE)</f>
        <v>70</v>
      </c>
      <c r="J257" s="10" t="str">
        <f t="shared" si="13"/>
        <v>Within Range</v>
      </c>
      <c r="K257" s="10">
        <f t="shared" si="14"/>
        <v>0</v>
      </c>
    </row>
    <row r="258" spans="1:11" ht="15.6" x14ac:dyDescent="0.3">
      <c r="A258" s="9">
        <v>45649</v>
      </c>
      <c r="B258" s="3" t="s">
        <v>5</v>
      </c>
      <c r="C258" s="13">
        <v>50</v>
      </c>
      <c r="D258" s="3" t="s">
        <v>8</v>
      </c>
      <c r="E258" s="3" t="s">
        <v>7</v>
      </c>
      <c r="F258" s="10" t="str">
        <f t="shared" si="15"/>
        <v>Dec-2024</v>
      </c>
      <c r="G258" t="str">
        <f t="shared" si="12"/>
        <v>2024-12</v>
      </c>
      <c r="H258" s="10">
        <f>VLOOKUP(B258, Price_List!$A$3:$C$62, 2, FALSE)</f>
        <v>60</v>
      </c>
      <c r="I258" s="10">
        <f>VLOOKUP(B258, Price_List!$A$3:$C$62, 3, FALSE)</f>
        <v>70</v>
      </c>
      <c r="J258" s="10" t="str">
        <f t="shared" si="13"/>
        <v>Below Min(Bargain)</v>
      </c>
      <c r="K258" s="10">
        <f t="shared" si="14"/>
        <v>10</v>
      </c>
    </row>
    <row r="259" spans="1:11" ht="15.6" x14ac:dyDescent="0.3">
      <c r="A259" s="9">
        <v>45649</v>
      </c>
      <c r="B259" s="3" t="s">
        <v>5</v>
      </c>
      <c r="C259" s="13">
        <v>50</v>
      </c>
      <c r="D259" s="3" t="s">
        <v>8</v>
      </c>
      <c r="E259" s="3" t="s">
        <v>7</v>
      </c>
      <c r="F259" s="10" t="str">
        <f t="shared" si="15"/>
        <v>Dec-2024</v>
      </c>
      <c r="G259" t="str">
        <f t="shared" ref="G259:G322" si="16">TEXT(A259,"yyyy-mm")</f>
        <v>2024-12</v>
      </c>
      <c r="H259" s="10">
        <f>VLOOKUP(B259, Price_List!$A$3:$C$62, 2, FALSE)</f>
        <v>60</v>
      </c>
      <c r="I259" s="10">
        <f>VLOOKUP(B259, Price_List!$A$3:$C$62, 3, FALSE)</f>
        <v>70</v>
      </c>
      <c r="J259" s="10" t="str">
        <f t="shared" ref="J259:J322" si="17">IF(C259 &lt; H259, "Below Min(Bargain)", IF(C259 &gt; I259, "Above Max", "Within Range"))</f>
        <v>Below Min(Bargain)</v>
      </c>
      <c r="K259" s="10">
        <f t="shared" ref="K259:K322" si="18">IF(C259 &lt; H259, H259 - C259, 0)</f>
        <v>10</v>
      </c>
    </row>
    <row r="260" spans="1:11" ht="15.6" x14ac:dyDescent="0.3">
      <c r="A260" s="9">
        <v>45652</v>
      </c>
      <c r="B260" s="3" t="s">
        <v>5</v>
      </c>
      <c r="C260" s="13">
        <v>750</v>
      </c>
      <c r="D260" s="3" t="s">
        <v>8</v>
      </c>
      <c r="E260" s="3" t="s">
        <v>7</v>
      </c>
      <c r="F260" s="10" t="str">
        <f t="shared" ref="F260:F323" si="19">TEXT(A260, "mmm-yyyy")</f>
        <v>Dec-2024</v>
      </c>
      <c r="G260" t="str">
        <f t="shared" si="16"/>
        <v>2024-12</v>
      </c>
      <c r="H260" s="10">
        <f>VLOOKUP(B260, Price_List!$A$3:$C$62, 2, FALSE)</f>
        <v>60</v>
      </c>
      <c r="I260" s="10">
        <f>VLOOKUP(B260, Price_List!$A$3:$C$62, 3, FALSE)</f>
        <v>70</v>
      </c>
      <c r="J260" s="10" t="str">
        <f t="shared" si="17"/>
        <v>Above Max</v>
      </c>
      <c r="K260" s="10">
        <f t="shared" si="18"/>
        <v>0</v>
      </c>
    </row>
    <row r="261" spans="1:11" ht="15.6" x14ac:dyDescent="0.3">
      <c r="A261" s="9">
        <v>45653</v>
      </c>
      <c r="B261" s="3" t="s">
        <v>14</v>
      </c>
      <c r="C261" s="13">
        <v>850</v>
      </c>
      <c r="D261" s="3" t="s">
        <v>8</v>
      </c>
      <c r="E261" s="3" t="s">
        <v>7</v>
      </c>
      <c r="F261" s="10" t="str">
        <f t="shared" si="19"/>
        <v>Dec-2024</v>
      </c>
      <c r="G261" t="str">
        <f t="shared" si="16"/>
        <v>2024-12</v>
      </c>
      <c r="H261" s="10">
        <f>VLOOKUP(B261, Price_List!$A$3:$C$62, 2, FALSE)</f>
        <v>800</v>
      </c>
      <c r="I261" s="10">
        <f>VLOOKUP(B261, Price_List!$A$3:$C$62, 3, FALSE)</f>
        <v>1000</v>
      </c>
      <c r="J261" s="10" t="str">
        <f t="shared" si="17"/>
        <v>Within Range</v>
      </c>
      <c r="K261" s="10">
        <f t="shared" si="18"/>
        <v>0</v>
      </c>
    </row>
    <row r="262" spans="1:11" ht="15.6" x14ac:dyDescent="0.3">
      <c r="A262" s="9">
        <v>45654</v>
      </c>
      <c r="B262" s="3" t="s">
        <v>14</v>
      </c>
      <c r="C262" s="13">
        <v>750</v>
      </c>
      <c r="D262" s="3" t="s">
        <v>8</v>
      </c>
      <c r="E262" s="3" t="s">
        <v>7</v>
      </c>
      <c r="F262" s="10" t="str">
        <f t="shared" si="19"/>
        <v>Dec-2024</v>
      </c>
      <c r="G262" t="str">
        <f t="shared" si="16"/>
        <v>2024-12</v>
      </c>
      <c r="H262" s="10">
        <f>VLOOKUP(B262, Price_List!$A$3:$C$62, 2, FALSE)</f>
        <v>800</v>
      </c>
      <c r="I262" s="10">
        <f>VLOOKUP(B262, Price_List!$A$3:$C$62, 3, FALSE)</f>
        <v>1000</v>
      </c>
      <c r="J262" s="10" t="str">
        <f t="shared" si="17"/>
        <v>Below Min(Bargain)</v>
      </c>
      <c r="K262" s="10">
        <f t="shared" si="18"/>
        <v>50</v>
      </c>
    </row>
    <row r="263" spans="1:11" ht="15.6" x14ac:dyDescent="0.3">
      <c r="A263" s="9">
        <v>45654</v>
      </c>
      <c r="B263" s="3" t="s">
        <v>5</v>
      </c>
      <c r="C263" s="13">
        <v>50</v>
      </c>
      <c r="D263" s="3" t="s">
        <v>8</v>
      </c>
      <c r="E263" s="3" t="s">
        <v>7</v>
      </c>
      <c r="F263" s="10" t="str">
        <f t="shared" si="19"/>
        <v>Dec-2024</v>
      </c>
      <c r="G263" t="str">
        <f t="shared" si="16"/>
        <v>2024-12</v>
      </c>
      <c r="H263" s="10">
        <f>VLOOKUP(B263, Price_List!$A$3:$C$62, 2, FALSE)</f>
        <v>60</v>
      </c>
      <c r="I263" s="10">
        <f>VLOOKUP(B263, Price_List!$A$3:$C$62, 3, FALSE)</f>
        <v>70</v>
      </c>
      <c r="J263" s="10" t="str">
        <f t="shared" si="17"/>
        <v>Below Min(Bargain)</v>
      </c>
      <c r="K263" s="10">
        <f t="shared" si="18"/>
        <v>10</v>
      </c>
    </row>
    <row r="264" spans="1:11" ht="15.6" x14ac:dyDescent="0.3">
      <c r="A264" s="9">
        <v>45656</v>
      </c>
      <c r="B264" s="3" t="s">
        <v>36</v>
      </c>
      <c r="C264" s="13">
        <v>100</v>
      </c>
      <c r="D264" s="3" t="s">
        <v>6</v>
      </c>
      <c r="E264" s="3" t="s">
        <v>7</v>
      </c>
      <c r="F264" s="10" t="str">
        <f t="shared" si="19"/>
        <v>Dec-2024</v>
      </c>
      <c r="G264" t="str">
        <f t="shared" si="16"/>
        <v>2024-12</v>
      </c>
      <c r="H264" s="10">
        <f>VLOOKUP(B264, Price_List!$A$3:$C$62, 2, FALSE)</f>
        <v>70</v>
      </c>
      <c r="I264" s="10">
        <f>VLOOKUP(B264, Price_List!$A$3:$C$62, 3, FALSE)</f>
        <v>140</v>
      </c>
      <c r="J264" s="10" t="str">
        <f t="shared" si="17"/>
        <v>Within Range</v>
      </c>
      <c r="K264" s="10">
        <f t="shared" si="18"/>
        <v>0</v>
      </c>
    </row>
    <row r="265" spans="1:11" ht="15.6" x14ac:dyDescent="0.3">
      <c r="A265" s="9">
        <v>45659</v>
      </c>
      <c r="B265" s="3" t="s">
        <v>44</v>
      </c>
      <c r="C265" s="13">
        <v>550</v>
      </c>
      <c r="D265" s="3" t="s">
        <v>8</v>
      </c>
      <c r="E265" s="3" t="s">
        <v>7</v>
      </c>
      <c r="F265" s="10" t="str">
        <f t="shared" si="19"/>
        <v>Jan-2025</v>
      </c>
      <c r="G265" t="str">
        <f t="shared" si="16"/>
        <v>2025-01</v>
      </c>
      <c r="H265" s="10">
        <f>VLOOKUP(B265, Price_List!$A$3:$C$62, 2, FALSE)</f>
        <v>300</v>
      </c>
      <c r="I265" s="10">
        <f>VLOOKUP(B265, Price_List!$A$3:$C$62, 3, FALSE)</f>
        <v>500</v>
      </c>
      <c r="J265" s="10" t="str">
        <f t="shared" si="17"/>
        <v>Above Max</v>
      </c>
      <c r="K265" s="10">
        <f t="shared" si="18"/>
        <v>0</v>
      </c>
    </row>
    <row r="266" spans="1:11" ht="15.6" x14ac:dyDescent="0.3">
      <c r="A266" s="9">
        <v>45659</v>
      </c>
      <c r="B266" s="3" t="s">
        <v>5</v>
      </c>
      <c r="C266" s="13">
        <v>50</v>
      </c>
      <c r="D266" s="3" t="s">
        <v>8</v>
      </c>
      <c r="E266" s="3" t="s">
        <v>7</v>
      </c>
      <c r="F266" s="10" t="str">
        <f t="shared" si="19"/>
        <v>Jan-2025</v>
      </c>
      <c r="G266" t="str">
        <f t="shared" si="16"/>
        <v>2025-01</v>
      </c>
      <c r="H266" s="10">
        <f>VLOOKUP(B266, Price_List!$A$3:$C$62, 2, FALSE)</f>
        <v>60</v>
      </c>
      <c r="I266" s="10">
        <f>VLOOKUP(B266, Price_List!$A$3:$C$62, 3, FALSE)</f>
        <v>70</v>
      </c>
      <c r="J266" s="10" t="str">
        <f t="shared" si="17"/>
        <v>Below Min(Bargain)</v>
      </c>
      <c r="K266" s="10">
        <f t="shared" si="18"/>
        <v>10</v>
      </c>
    </row>
    <row r="267" spans="1:11" ht="15.6" x14ac:dyDescent="0.3">
      <c r="A267" s="9">
        <v>45659</v>
      </c>
      <c r="B267" s="3" t="s">
        <v>5</v>
      </c>
      <c r="C267" s="13">
        <v>70</v>
      </c>
      <c r="D267" s="3" t="s">
        <v>6</v>
      </c>
      <c r="E267" s="3" t="s">
        <v>7</v>
      </c>
      <c r="F267" s="10" t="str">
        <f t="shared" si="19"/>
        <v>Jan-2025</v>
      </c>
      <c r="G267" t="str">
        <f t="shared" si="16"/>
        <v>2025-01</v>
      </c>
      <c r="H267" s="10">
        <f>VLOOKUP(B267, Price_List!$A$3:$C$62, 2, FALSE)</f>
        <v>60</v>
      </c>
      <c r="I267" s="10">
        <f>VLOOKUP(B267, Price_List!$A$3:$C$62, 3, FALSE)</f>
        <v>70</v>
      </c>
      <c r="J267" s="10" t="str">
        <f t="shared" si="17"/>
        <v>Within Range</v>
      </c>
      <c r="K267" s="10">
        <f t="shared" si="18"/>
        <v>0</v>
      </c>
    </row>
    <row r="268" spans="1:11" ht="15.6" x14ac:dyDescent="0.3">
      <c r="A268" s="9">
        <v>45659</v>
      </c>
      <c r="B268" s="3" t="s">
        <v>14</v>
      </c>
      <c r="C268" s="13">
        <v>1000</v>
      </c>
      <c r="D268" s="3" t="s">
        <v>8</v>
      </c>
      <c r="E268" s="3" t="s">
        <v>7</v>
      </c>
      <c r="F268" s="10" t="str">
        <f t="shared" si="19"/>
        <v>Jan-2025</v>
      </c>
      <c r="G268" t="str">
        <f t="shared" si="16"/>
        <v>2025-01</v>
      </c>
      <c r="H268" s="10">
        <f>VLOOKUP(B268, Price_List!$A$3:$C$62, 2, FALSE)</f>
        <v>800</v>
      </c>
      <c r="I268" s="10">
        <f>VLOOKUP(B268, Price_List!$A$3:$C$62, 3, FALSE)</f>
        <v>1000</v>
      </c>
      <c r="J268" s="10" t="str">
        <f t="shared" si="17"/>
        <v>Within Range</v>
      </c>
      <c r="K268" s="10">
        <f t="shared" si="18"/>
        <v>0</v>
      </c>
    </row>
    <row r="269" spans="1:11" ht="15.6" x14ac:dyDescent="0.3">
      <c r="A269" s="9">
        <v>45660</v>
      </c>
      <c r="B269" s="3" t="s">
        <v>14</v>
      </c>
      <c r="C269" s="13">
        <v>750</v>
      </c>
      <c r="D269" s="3" t="s">
        <v>8</v>
      </c>
      <c r="E269" s="3" t="s">
        <v>7</v>
      </c>
      <c r="F269" s="10" t="str">
        <f t="shared" si="19"/>
        <v>Jan-2025</v>
      </c>
      <c r="G269" t="str">
        <f t="shared" si="16"/>
        <v>2025-01</v>
      </c>
      <c r="H269" s="10">
        <f>VLOOKUP(B269, Price_List!$A$3:$C$62, 2, FALSE)</f>
        <v>800</v>
      </c>
      <c r="I269" s="10">
        <f>VLOOKUP(B269, Price_List!$A$3:$C$62, 3, FALSE)</f>
        <v>1000</v>
      </c>
      <c r="J269" s="10" t="str">
        <f t="shared" si="17"/>
        <v>Below Min(Bargain)</v>
      </c>
      <c r="K269" s="10">
        <f t="shared" si="18"/>
        <v>50</v>
      </c>
    </row>
    <row r="270" spans="1:11" ht="15.6" x14ac:dyDescent="0.3">
      <c r="A270" s="9">
        <v>45660</v>
      </c>
      <c r="B270" s="3" t="s">
        <v>14</v>
      </c>
      <c r="C270" s="13">
        <v>700</v>
      </c>
      <c r="D270" s="3" t="s">
        <v>6</v>
      </c>
      <c r="E270" s="3" t="s">
        <v>7</v>
      </c>
      <c r="F270" s="10" t="str">
        <f t="shared" si="19"/>
        <v>Jan-2025</v>
      </c>
      <c r="G270" t="str">
        <f t="shared" si="16"/>
        <v>2025-01</v>
      </c>
      <c r="H270" s="10">
        <f>VLOOKUP(B270, Price_List!$A$3:$C$62, 2, FALSE)</f>
        <v>800</v>
      </c>
      <c r="I270" s="10">
        <f>VLOOKUP(B270, Price_List!$A$3:$C$62, 3, FALSE)</f>
        <v>1000</v>
      </c>
      <c r="J270" s="10" t="str">
        <f t="shared" si="17"/>
        <v>Below Min(Bargain)</v>
      </c>
      <c r="K270" s="10">
        <f t="shared" si="18"/>
        <v>100</v>
      </c>
    </row>
    <row r="271" spans="1:11" ht="15.6" x14ac:dyDescent="0.3">
      <c r="A271" s="9">
        <v>45660</v>
      </c>
      <c r="B271" s="3" t="s">
        <v>36</v>
      </c>
      <c r="C271" s="13">
        <v>120</v>
      </c>
      <c r="D271" s="3" t="s">
        <v>8</v>
      </c>
      <c r="E271" s="3" t="s">
        <v>7</v>
      </c>
      <c r="F271" s="10" t="str">
        <f t="shared" si="19"/>
        <v>Jan-2025</v>
      </c>
      <c r="G271" t="str">
        <f t="shared" si="16"/>
        <v>2025-01</v>
      </c>
      <c r="H271" s="10">
        <f>VLOOKUP(B271, Price_List!$A$3:$C$62, 2, FALSE)</f>
        <v>70</v>
      </c>
      <c r="I271" s="10">
        <f>VLOOKUP(B271, Price_List!$A$3:$C$62, 3, FALSE)</f>
        <v>140</v>
      </c>
      <c r="J271" s="10" t="str">
        <f t="shared" si="17"/>
        <v>Within Range</v>
      </c>
      <c r="K271" s="10">
        <f t="shared" si="18"/>
        <v>0</v>
      </c>
    </row>
    <row r="272" spans="1:11" ht="15.6" x14ac:dyDescent="0.3">
      <c r="A272" s="9">
        <v>45660</v>
      </c>
      <c r="B272" s="3" t="s">
        <v>5</v>
      </c>
      <c r="C272" s="13">
        <v>50</v>
      </c>
      <c r="D272" s="3" t="s">
        <v>8</v>
      </c>
      <c r="E272" s="3" t="s">
        <v>7</v>
      </c>
      <c r="F272" s="10" t="str">
        <f t="shared" si="19"/>
        <v>Jan-2025</v>
      </c>
      <c r="G272" t="str">
        <f t="shared" si="16"/>
        <v>2025-01</v>
      </c>
      <c r="H272" s="10">
        <f>VLOOKUP(B272, Price_List!$A$3:$C$62, 2, FALSE)</f>
        <v>60</v>
      </c>
      <c r="I272" s="10">
        <f>VLOOKUP(B272, Price_List!$A$3:$C$62, 3, FALSE)</f>
        <v>70</v>
      </c>
      <c r="J272" s="10" t="str">
        <f t="shared" si="17"/>
        <v>Below Min(Bargain)</v>
      </c>
      <c r="K272" s="10">
        <f t="shared" si="18"/>
        <v>10</v>
      </c>
    </row>
    <row r="273" spans="1:11" ht="15.6" x14ac:dyDescent="0.3">
      <c r="A273" s="9">
        <v>45661</v>
      </c>
      <c r="B273" s="3" t="s">
        <v>36</v>
      </c>
      <c r="C273" s="13">
        <v>120</v>
      </c>
      <c r="D273" s="3" t="s">
        <v>8</v>
      </c>
      <c r="E273" s="3" t="s">
        <v>7</v>
      </c>
      <c r="F273" s="10" t="str">
        <f t="shared" si="19"/>
        <v>Jan-2025</v>
      </c>
      <c r="G273" t="str">
        <f t="shared" si="16"/>
        <v>2025-01</v>
      </c>
      <c r="H273" s="10">
        <f>VLOOKUP(B273, Price_List!$A$3:$C$62, 2, FALSE)</f>
        <v>70</v>
      </c>
      <c r="I273" s="10">
        <f>VLOOKUP(B273, Price_List!$A$3:$C$62, 3, FALSE)</f>
        <v>140</v>
      </c>
      <c r="J273" s="10" t="str">
        <f t="shared" si="17"/>
        <v>Within Range</v>
      </c>
      <c r="K273" s="10">
        <f t="shared" si="18"/>
        <v>0</v>
      </c>
    </row>
    <row r="274" spans="1:11" ht="15.6" x14ac:dyDescent="0.3">
      <c r="A274" s="9">
        <v>45661</v>
      </c>
      <c r="B274" s="15" t="s">
        <v>107</v>
      </c>
      <c r="C274" s="13">
        <v>600</v>
      </c>
      <c r="D274" s="3" t="s">
        <v>8</v>
      </c>
      <c r="E274" s="3" t="s">
        <v>7</v>
      </c>
      <c r="F274" s="10" t="str">
        <f t="shared" si="19"/>
        <v>Jan-2025</v>
      </c>
      <c r="G274" t="str">
        <f t="shared" si="16"/>
        <v>2025-01</v>
      </c>
      <c r="H274" s="10">
        <f>VLOOKUP(B274, Price_List!$A$3:$C$62, 2, FALSE)</f>
        <v>3500</v>
      </c>
      <c r="I274" s="10">
        <f>VLOOKUP(B274, Price_List!$A$3:$C$62, 3, FALSE)</f>
        <v>3500</v>
      </c>
      <c r="J274" s="10" t="str">
        <f t="shared" si="17"/>
        <v>Below Min(Bargain)</v>
      </c>
      <c r="K274" s="10">
        <f t="shared" si="18"/>
        <v>2900</v>
      </c>
    </row>
    <row r="275" spans="1:11" ht="15.6" x14ac:dyDescent="0.3">
      <c r="A275" s="9">
        <v>45661</v>
      </c>
      <c r="B275" s="3" t="s">
        <v>11</v>
      </c>
      <c r="C275" s="13">
        <v>350</v>
      </c>
      <c r="D275" s="3" t="s">
        <v>6</v>
      </c>
      <c r="E275" s="3" t="s">
        <v>7</v>
      </c>
      <c r="F275" s="10" t="str">
        <f t="shared" si="19"/>
        <v>Jan-2025</v>
      </c>
      <c r="G275" t="str">
        <f t="shared" si="16"/>
        <v>2025-01</v>
      </c>
      <c r="H275" s="10">
        <f>VLOOKUP(B275, Price_List!$A$3:$C$62, 2, FALSE)</f>
        <v>350</v>
      </c>
      <c r="I275" s="10">
        <f>VLOOKUP(B275, Price_List!$A$3:$C$62, 3, FALSE)</f>
        <v>700</v>
      </c>
      <c r="J275" s="10" t="str">
        <f t="shared" si="17"/>
        <v>Within Range</v>
      </c>
      <c r="K275" s="10">
        <f t="shared" si="18"/>
        <v>0</v>
      </c>
    </row>
    <row r="276" spans="1:11" ht="15.6" x14ac:dyDescent="0.3">
      <c r="A276" s="9">
        <v>45662</v>
      </c>
      <c r="B276" s="3" t="s">
        <v>13</v>
      </c>
      <c r="C276" s="13">
        <v>350</v>
      </c>
      <c r="D276" s="3" t="s">
        <v>8</v>
      </c>
      <c r="E276" s="3" t="s">
        <v>7</v>
      </c>
      <c r="F276" s="10" t="str">
        <f t="shared" si="19"/>
        <v>Jan-2025</v>
      </c>
      <c r="G276" t="str">
        <f t="shared" si="16"/>
        <v>2025-01</v>
      </c>
      <c r="H276" s="10">
        <f>VLOOKUP(B276, Price_List!$A$3:$C$62, 2, FALSE)</f>
        <v>350</v>
      </c>
      <c r="I276" s="10">
        <f>VLOOKUP(B276, Price_List!$A$3:$C$62, 3, FALSE)</f>
        <v>350</v>
      </c>
      <c r="J276" s="10" t="str">
        <f t="shared" si="17"/>
        <v>Within Range</v>
      </c>
      <c r="K276" s="10">
        <f t="shared" si="18"/>
        <v>0</v>
      </c>
    </row>
    <row r="277" spans="1:11" ht="15.6" x14ac:dyDescent="0.3">
      <c r="A277" s="9">
        <v>45662</v>
      </c>
      <c r="B277" s="3" t="s">
        <v>5</v>
      </c>
      <c r="C277" s="13">
        <v>50</v>
      </c>
      <c r="D277" s="3" t="s">
        <v>8</v>
      </c>
      <c r="E277" s="3" t="s">
        <v>7</v>
      </c>
      <c r="F277" s="10" t="str">
        <f t="shared" si="19"/>
        <v>Jan-2025</v>
      </c>
      <c r="G277" t="str">
        <f t="shared" si="16"/>
        <v>2025-01</v>
      </c>
      <c r="H277" s="10">
        <f>VLOOKUP(B277, Price_List!$A$3:$C$62, 2, FALSE)</f>
        <v>60</v>
      </c>
      <c r="I277" s="10">
        <f>VLOOKUP(B277, Price_List!$A$3:$C$62, 3, FALSE)</f>
        <v>70</v>
      </c>
      <c r="J277" s="10" t="str">
        <f t="shared" si="17"/>
        <v>Below Min(Bargain)</v>
      </c>
      <c r="K277" s="10">
        <f t="shared" si="18"/>
        <v>10</v>
      </c>
    </row>
    <row r="278" spans="1:11" ht="15.6" x14ac:dyDescent="0.3">
      <c r="A278" s="9">
        <v>45662</v>
      </c>
      <c r="B278" s="3" t="s">
        <v>36</v>
      </c>
      <c r="C278" s="13">
        <v>100</v>
      </c>
      <c r="D278" s="3" t="s">
        <v>8</v>
      </c>
      <c r="E278" s="3" t="s">
        <v>7</v>
      </c>
      <c r="F278" s="10" t="str">
        <f t="shared" si="19"/>
        <v>Jan-2025</v>
      </c>
      <c r="G278" t="str">
        <f t="shared" si="16"/>
        <v>2025-01</v>
      </c>
      <c r="H278" s="10">
        <f>VLOOKUP(B278, Price_List!$A$3:$C$62, 2, FALSE)</f>
        <v>70</v>
      </c>
      <c r="I278" s="10">
        <f>VLOOKUP(B278, Price_List!$A$3:$C$62, 3, FALSE)</f>
        <v>140</v>
      </c>
      <c r="J278" s="10" t="str">
        <f t="shared" si="17"/>
        <v>Within Range</v>
      </c>
      <c r="K278" s="10">
        <f t="shared" si="18"/>
        <v>0</v>
      </c>
    </row>
    <row r="279" spans="1:11" ht="15.6" x14ac:dyDescent="0.3">
      <c r="A279" s="9">
        <v>45662</v>
      </c>
      <c r="B279" s="3" t="s">
        <v>11</v>
      </c>
      <c r="C279" s="13">
        <v>300</v>
      </c>
      <c r="D279" s="3" t="s">
        <v>6</v>
      </c>
      <c r="E279" s="3" t="s">
        <v>7</v>
      </c>
      <c r="F279" s="10" t="str">
        <f t="shared" si="19"/>
        <v>Jan-2025</v>
      </c>
      <c r="G279" t="str">
        <f t="shared" si="16"/>
        <v>2025-01</v>
      </c>
      <c r="H279" s="10">
        <f>VLOOKUP(B279, Price_List!$A$3:$C$62, 2, FALSE)</f>
        <v>350</v>
      </c>
      <c r="I279" s="10">
        <f>VLOOKUP(B279, Price_List!$A$3:$C$62, 3, FALSE)</f>
        <v>700</v>
      </c>
      <c r="J279" s="10" t="str">
        <f t="shared" si="17"/>
        <v>Below Min(Bargain)</v>
      </c>
      <c r="K279" s="10">
        <f t="shared" si="18"/>
        <v>50</v>
      </c>
    </row>
    <row r="280" spans="1:11" ht="15.6" x14ac:dyDescent="0.3">
      <c r="A280" s="9">
        <v>45663</v>
      </c>
      <c r="B280" s="3" t="s">
        <v>56</v>
      </c>
      <c r="C280" s="13">
        <v>400</v>
      </c>
      <c r="D280" s="3" t="s">
        <v>8</v>
      </c>
      <c r="E280" s="3" t="s">
        <v>7</v>
      </c>
      <c r="F280" s="10" t="str">
        <f t="shared" si="19"/>
        <v>Jan-2025</v>
      </c>
      <c r="G280" t="str">
        <f t="shared" si="16"/>
        <v>2025-01</v>
      </c>
      <c r="H280" s="10">
        <f>VLOOKUP(B280, Price_List!$A$3:$C$62, 2, FALSE)</f>
        <v>1000</v>
      </c>
      <c r="I280" s="10">
        <f>VLOOKUP(B280, Price_List!$A$3:$C$62, 3, FALSE)</f>
        <v>1000</v>
      </c>
      <c r="J280" s="10" t="str">
        <f t="shared" si="17"/>
        <v>Below Min(Bargain)</v>
      </c>
      <c r="K280" s="10">
        <f t="shared" si="18"/>
        <v>600</v>
      </c>
    </row>
    <row r="281" spans="1:11" ht="15.6" x14ac:dyDescent="0.3">
      <c r="A281" s="9">
        <v>45663</v>
      </c>
      <c r="B281" s="15" t="s">
        <v>112</v>
      </c>
      <c r="C281" s="13">
        <v>700</v>
      </c>
      <c r="D281" s="3" t="s">
        <v>8</v>
      </c>
      <c r="E281" s="3" t="s">
        <v>7</v>
      </c>
      <c r="F281" s="10" t="str">
        <f t="shared" si="19"/>
        <v>Jan-2025</v>
      </c>
      <c r="G281" t="str">
        <f t="shared" si="16"/>
        <v>2025-01</v>
      </c>
      <c r="H281" s="10">
        <f>VLOOKUP(B281, Price_List!$A$3:$C$62, 2, FALSE)</f>
        <v>700</v>
      </c>
      <c r="I281" s="10">
        <f>VLOOKUP(B281, Price_List!$A$3:$C$62, 3, FALSE)</f>
        <v>700</v>
      </c>
      <c r="J281" s="10" t="str">
        <f t="shared" si="17"/>
        <v>Within Range</v>
      </c>
      <c r="K281" s="10">
        <f t="shared" si="18"/>
        <v>0</v>
      </c>
    </row>
    <row r="282" spans="1:11" ht="15.6" x14ac:dyDescent="0.3">
      <c r="A282" s="9">
        <v>45663</v>
      </c>
      <c r="B282" s="3" t="s">
        <v>57</v>
      </c>
      <c r="C282" s="13">
        <v>600</v>
      </c>
      <c r="D282" s="3" t="s">
        <v>8</v>
      </c>
      <c r="E282" s="3" t="s">
        <v>7</v>
      </c>
      <c r="F282" s="10" t="str">
        <f t="shared" si="19"/>
        <v>Jan-2025</v>
      </c>
      <c r="G282" t="str">
        <f t="shared" si="16"/>
        <v>2025-01</v>
      </c>
      <c r="H282" s="10">
        <f>VLOOKUP(B282, Price_List!$A$3:$C$62, 2, FALSE)</f>
        <v>600</v>
      </c>
      <c r="I282" s="10">
        <f>VLOOKUP(B282, Price_List!$A$3:$C$62, 3, FALSE)</f>
        <v>600</v>
      </c>
      <c r="J282" s="10" t="str">
        <f t="shared" si="17"/>
        <v>Within Range</v>
      </c>
      <c r="K282" s="10">
        <f t="shared" si="18"/>
        <v>0</v>
      </c>
    </row>
    <row r="283" spans="1:11" ht="15.6" x14ac:dyDescent="0.3">
      <c r="A283" s="9">
        <v>45664</v>
      </c>
      <c r="B283" s="3" t="s">
        <v>5</v>
      </c>
      <c r="C283" s="13">
        <v>50</v>
      </c>
      <c r="D283" s="3" t="s">
        <v>8</v>
      </c>
      <c r="E283" s="3" t="s">
        <v>7</v>
      </c>
      <c r="F283" s="10" t="str">
        <f t="shared" si="19"/>
        <v>Jan-2025</v>
      </c>
      <c r="G283" t="str">
        <f t="shared" si="16"/>
        <v>2025-01</v>
      </c>
      <c r="H283" s="10">
        <f>VLOOKUP(B283, Price_List!$A$3:$C$62, 2, FALSE)</f>
        <v>60</v>
      </c>
      <c r="I283" s="10">
        <f>VLOOKUP(B283, Price_List!$A$3:$C$62, 3, FALSE)</f>
        <v>70</v>
      </c>
      <c r="J283" s="10" t="str">
        <f t="shared" si="17"/>
        <v>Below Min(Bargain)</v>
      </c>
      <c r="K283" s="10">
        <f t="shared" si="18"/>
        <v>10</v>
      </c>
    </row>
    <row r="284" spans="1:11" ht="15.6" x14ac:dyDescent="0.3">
      <c r="A284" s="9">
        <v>45665</v>
      </c>
      <c r="B284" s="3" t="s">
        <v>14</v>
      </c>
      <c r="C284" s="13">
        <v>900</v>
      </c>
      <c r="D284" s="3" t="s">
        <v>8</v>
      </c>
      <c r="E284" s="3" t="s">
        <v>7</v>
      </c>
      <c r="F284" s="10" t="str">
        <f t="shared" si="19"/>
        <v>Jan-2025</v>
      </c>
      <c r="G284" t="str">
        <f t="shared" si="16"/>
        <v>2025-01</v>
      </c>
      <c r="H284" s="10">
        <f>VLOOKUP(B284, Price_List!$A$3:$C$62, 2, FALSE)</f>
        <v>800</v>
      </c>
      <c r="I284" s="10">
        <f>VLOOKUP(B284, Price_List!$A$3:$C$62, 3, FALSE)</f>
        <v>1000</v>
      </c>
      <c r="J284" s="10" t="str">
        <f t="shared" si="17"/>
        <v>Within Range</v>
      </c>
      <c r="K284" s="10">
        <f t="shared" si="18"/>
        <v>0</v>
      </c>
    </row>
    <row r="285" spans="1:11" ht="15.6" x14ac:dyDescent="0.3">
      <c r="A285" s="9">
        <v>45665</v>
      </c>
      <c r="B285" s="3" t="s">
        <v>14</v>
      </c>
      <c r="C285" s="13">
        <v>900</v>
      </c>
      <c r="D285" s="3" t="s">
        <v>8</v>
      </c>
      <c r="E285" s="3" t="s">
        <v>7</v>
      </c>
      <c r="F285" s="10" t="str">
        <f t="shared" si="19"/>
        <v>Jan-2025</v>
      </c>
      <c r="G285" t="str">
        <f t="shared" si="16"/>
        <v>2025-01</v>
      </c>
      <c r="H285" s="10">
        <f>VLOOKUP(B285, Price_List!$A$3:$C$62, 2, FALSE)</f>
        <v>800</v>
      </c>
      <c r="I285" s="10">
        <f>VLOOKUP(B285, Price_List!$A$3:$C$62, 3, FALSE)</f>
        <v>1000</v>
      </c>
      <c r="J285" s="10" t="str">
        <f t="shared" si="17"/>
        <v>Within Range</v>
      </c>
      <c r="K285" s="10">
        <f t="shared" si="18"/>
        <v>0</v>
      </c>
    </row>
    <row r="286" spans="1:11" ht="15.6" x14ac:dyDescent="0.3">
      <c r="A286" s="9">
        <v>45665</v>
      </c>
      <c r="B286" s="15" t="s">
        <v>105</v>
      </c>
      <c r="C286" s="13">
        <v>1000</v>
      </c>
      <c r="D286" s="3" t="s">
        <v>8</v>
      </c>
      <c r="E286" s="3" t="s">
        <v>7</v>
      </c>
      <c r="F286" s="10" t="str">
        <f t="shared" si="19"/>
        <v>Jan-2025</v>
      </c>
      <c r="G286" t="str">
        <f t="shared" si="16"/>
        <v>2025-01</v>
      </c>
      <c r="H286" s="10">
        <f>VLOOKUP(B286, Price_List!$A$3:$C$62, 2, FALSE)</f>
        <v>1100</v>
      </c>
      <c r="I286" s="10">
        <f>VLOOKUP(B286, Price_List!$A$3:$C$62, 3, FALSE)</f>
        <v>1100</v>
      </c>
      <c r="J286" s="10" t="str">
        <f t="shared" si="17"/>
        <v>Below Min(Bargain)</v>
      </c>
      <c r="K286" s="10">
        <f t="shared" si="18"/>
        <v>100</v>
      </c>
    </row>
    <row r="287" spans="1:11" ht="15.6" x14ac:dyDescent="0.3">
      <c r="A287" s="9">
        <v>45665</v>
      </c>
      <c r="B287" s="15" t="s">
        <v>105</v>
      </c>
      <c r="C287" s="13">
        <v>900</v>
      </c>
      <c r="D287" s="3" t="s">
        <v>8</v>
      </c>
      <c r="E287" s="3" t="s">
        <v>7</v>
      </c>
      <c r="F287" s="10" t="str">
        <f t="shared" si="19"/>
        <v>Jan-2025</v>
      </c>
      <c r="G287" t="str">
        <f t="shared" si="16"/>
        <v>2025-01</v>
      </c>
      <c r="H287" s="10">
        <f>VLOOKUP(B287, Price_List!$A$3:$C$62, 2, FALSE)</f>
        <v>1100</v>
      </c>
      <c r="I287" s="10">
        <f>VLOOKUP(B287, Price_List!$A$3:$C$62, 3, FALSE)</f>
        <v>1100</v>
      </c>
      <c r="J287" s="10" t="str">
        <f t="shared" si="17"/>
        <v>Below Min(Bargain)</v>
      </c>
      <c r="K287" s="10">
        <f t="shared" si="18"/>
        <v>200</v>
      </c>
    </row>
    <row r="288" spans="1:11" ht="15.6" x14ac:dyDescent="0.3">
      <c r="A288" s="9">
        <v>45665</v>
      </c>
      <c r="B288" s="3" t="s">
        <v>44</v>
      </c>
      <c r="C288" s="13">
        <v>1000</v>
      </c>
      <c r="D288" s="3" t="s">
        <v>8</v>
      </c>
      <c r="E288" s="3" t="s">
        <v>7</v>
      </c>
      <c r="F288" s="10" t="str">
        <f t="shared" si="19"/>
        <v>Jan-2025</v>
      </c>
      <c r="G288" t="str">
        <f t="shared" si="16"/>
        <v>2025-01</v>
      </c>
      <c r="H288" s="10">
        <f>VLOOKUP(B288, Price_List!$A$3:$C$62, 2, FALSE)</f>
        <v>300</v>
      </c>
      <c r="I288" s="10">
        <f>VLOOKUP(B288, Price_List!$A$3:$C$62, 3, FALSE)</f>
        <v>500</v>
      </c>
      <c r="J288" s="10" t="str">
        <f t="shared" si="17"/>
        <v>Above Max</v>
      </c>
      <c r="K288" s="10">
        <f t="shared" si="18"/>
        <v>0</v>
      </c>
    </row>
    <row r="289" spans="1:11" ht="15.6" x14ac:dyDescent="0.3">
      <c r="A289" s="9">
        <v>45665</v>
      </c>
      <c r="B289" s="3" t="s">
        <v>5</v>
      </c>
      <c r="C289" s="13">
        <v>50</v>
      </c>
      <c r="D289" s="3" t="s">
        <v>8</v>
      </c>
      <c r="E289" s="3" t="s">
        <v>7</v>
      </c>
      <c r="F289" s="10" t="str">
        <f t="shared" si="19"/>
        <v>Jan-2025</v>
      </c>
      <c r="G289" t="str">
        <f t="shared" si="16"/>
        <v>2025-01</v>
      </c>
      <c r="H289" s="10">
        <f>VLOOKUP(B289, Price_List!$A$3:$C$62, 2, FALSE)</f>
        <v>60</v>
      </c>
      <c r="I289" s="10">
        <f>VLOOKUP(B289, Price_List!$A$3:$C$62, 3, FALSE)</f>
        <v>70</v>
      </c>
      <c r="J289" s="10" t="str">
        <f t="shared" si="17"/>
        <v>Below Min(Bargain)</v>
      </c>
      <c r="K289" s="10">
        <f t="shared" si="18"/>
        <v>10</v>
      </c>
    </row>
    <row r="290" spans="1:11" ht="15.6" x14ac:dyDescent="0.3">
      <c r="A290" s="9">
        <v>45666</v>
      </c>
      <c r="B290" s="15" t="s">
        <v>117</v>
      </c>
      <c r="C290" s="13">
        <v>800</v>
      </c>
      <c r="D290" s="3" t="s">
        <v>8</v>
      </c>
      <c r="E290" s="3" t="s">
        <v>7</v>
      </c>
      <c r="F290" s="10" t="str">
        <f t="shared" si="19"/>
        <v>Jan-2025</v>
      </c>
      <c r="G290" t="str">
        <f t="shared" si="16"/>
        <v>2025-01</v>
      </c>
      <c r="H290" s="10">
        <f>VLOOKUP(B290, Price_List!$A$3:$C$62, 2, FALSE)</f>
        <v>800</v>
      </c>
      <c r="I290" s="10">
        <f>VLOOKUP(B290, Price_List!$A$3:$C$62, 3, FALSE)</f>
        <v>800</v>
      </c>
      <c r="J290" s="10" t="str">
        <f t="shared" si="17"/>
        <v>Within Range</v>
      </c>
      <c r="K290" s="10">
        <f t="shared" si="18"/>
        <v>0</v>
      </c>
    </row>
    <row r="291" spans="1:11" ht="15.6" x14ac:dyDescent="0.3">
      <c r="A291" s="9">
        <v>45666</v>
      </c>
      <c r="B291" s="15" t="s">
        <v>107</v>
      </c>
      <c r="C291" s="13">
        <v>500</v>
      </c>
      <c r="D291" s="3" t="s">
        <v>8</v>
      </c>
      <c r="E291" s="3" t="s">
        <v>7</v>
      </c>
      <c r="F291" s="10" t="str">
        <f t="shared" si="19"/>
        <v>Jan-2025</v>
      </c>
      <c r="G291" t="str">
        <f t="shared" si="16"/>
        <v>2025-01</v>
      </c>
      <c r="H291" s="10">
        <f>VLOOKUP(B291, Price_List!$A$3:$C$62, 2, FALSE)</f>
        <v>3500</v>
      </c>
      <c r="I291" s="10">
        <f>VLOOKUP(B291, Price_List!$A$3:$C$62, 3, FALSE)</f>
        <v>3500</v>
      </c>
      <c r="J291" s="10" t="str">
        <f t="shared" si="17"/>
        <v>Below Min(Bargain)</v>
      </c>
      <c r="K291" s="10">
        <f t="shared" si="18"/>
        <v>3000</v>
      </c>
    </row>
    <row r="292" spans="1:11" ht="15.6" x14ac:dyDescent="0.3">
      <c r="A292" s="9">
        <v>45666</v>
      </c>
      <c r="B292" s="3" t="s">
        <v>5</v>
      </c>
      <c r="C292" s="13">
        <v>40</v>
      </c>
      <c r="D292" s="3" t="s">
        <v>8</v>
      </c>
      <c r="E292" s="3" t="s">
        <v>7</v>
      </c>
      <c r="F292" s="10" t="str">
        <f t="shared" si="19"/>
        <v>Jan-2025</v>
      </c>
      <c r="G292" t="str">
        <f t="shared" si="16"/>
        <v>2025-01</v>
      </c>
      <c r="H292" s="10">
        <f>VLOOKUP(B292, Price_List!$A$3:$C$62, 2, FALSE)</f>
        <v>60</v>
      </c>
      <c r="I292" s="10">
        <f>VLOOKUP(B292, Price_List!$A$3:$C$62, 3, FALSE)</f>
        <v>70</v>
      </c>
      <c r="J292" s="10" t="str">
        <f t="shared" si="17"/>
        <v>Below Min(Bargain)</v>
      </c>
      <c r="K292" s="10">
        <f t="shared" si="18"/>
        <v>20</v>
      </c>
    </row>
    <row r="293" spans="1:11" ht="15.6" x14ac:dyDescent="0.3">
      <c r="A293" s="9">
        <v>45667</v>
      </c>
      <c r="B293" s="3" t="s">
        <v>5</v>
      </c>
      <c r="C293" s="13">
        <v>60</v>
      </c>
      <c r="D293" s="3" t="s">
        <v>6</v>
      </c>
      <c r="E293" s="3" t="s">
        <v>7</v>
      </c>
      <c r="F293" s="10" t="str">
        <f t="shared" si="19"/>
        <v>Jan-2025</v>
      </c>
      <c r="G293" t="str">
        <f t="shared" si="16"/>
        <v>2025-01</v>
      </c>
      <c r="H293" s="10">
        <f>VLOOKUP(B293, Price_List!$A$3:$C$62, 2, FALSE)</f>
        <v>60</v>
      </c>
      <c r="I293" s="10">
        <f>VLOOKUP(B293, Price_List!$A$3:$C$62, 3, FALSE)</f>
        <v>70</v>
      </c>
      <c r="J293" s="10" t="str">
        <f t="shared" si="17"/>
        <v>Within Range</v>
      </c>
      <c r="K293" s="10">
        <f t="shared" si="18"/>
        <v>0</v>
      </c>
    </row>
    <row r="294" spans="1:11" ht="15.6" x14ac:dyDescent="0.3">
      <c r="A294" s="9">
        <v>45667</v>
      </c>
      <c r="B294" s="3" t="s">
        <v>5</v>
      </c>
      <c r="C294" s="13">
        <v>60</v>
      </c>
      <c r="D294" s="3" t="s">
        <v>8</v>
      </c>
      <c r="E294" s="3" t="s">
        <v>7</v>
      </c>
      <c r="F294" s="10" t="str">
        <f t="shared" si="19"/>
        <v>Jan-2025</v>
      </c>
      <c r="G294" t="str">
        <f t="shared" si="16"/>
        <v>2025-01</v>
      </c>
      <c r="H294" s="10">
        <f>VLOOKUP(B294, Price_List!$A$3:$C$62, 2, FALSE)</f>
        <v>60</v>
      </c>
      <c r="I294" s="10">
        <f>VLOOKUP(B294, Price_List!$A$3:$C$62, 3, FALSE)</f>
        <v>70</v>
      </c>
      <c r="J294" s="10" t="str">
        <f t="shared" si="17"/>
        <v>Within Range</v>
      </c>
      <c r="K294" s="10">
        <f t="shared" si="18"/>
        <v>0</v>
      </c>
    </row>
    <row r="295" spans="1:11" ht="15.6" x14ac:dyDescent="0.3">
      <c r="A295" s="9">
        <v>45668</v>
      </c>
      <c r="B295" s="3" t="s">
        <v>36</v>
      </c>
      <c r="C295" s="13">
        <v>100</v>
      </c>
      <c r="D295" s="3" t="s">
        <v>8</v>
      </c>
      <c r="E295" s="3" t="s">
        <v>7</v>
      </c>
      <c r="F295" s="10" t="str">
        <f t="shared" si="19"/>
        <v>Jan-2025</v>
      </c>
      <c r="G295" t="str">
        <f t="shared" si="16"/>
        <v>2025-01</v>
      </c>
      <c r="H295" s="10">
        <f>VLOOKUP(B295, Price_List!$A$3:$C$62, 2, FALSE)</f>
        <v>70</v>
      </c>
      <c r="I295" s="10">
        <f>VLOOKUP(B295, Price_List!$A$3:$C$62, 3, FALSE)</f>
        <v>140</v>
      </c>
      <c r="J295" s="10" t="str">
        <f t="shared" si="17"/>
        <v>Within Range</v>
      </c>
      <c r="K295" s="10">
        <f t="shared" si="18"/>
        <v>0</v>
      </c>
    </row>
    <row r="296" spans="1:11" ht="15.6" x14ac:dyDescent="0.3">
      <c r="A296" s="9">
        <v>45668</v>
      </c>
      <c r="B296" s="3" t="s">
        <v>36</v>
      </c>
      <c r="C296" s="13">
        <v>120</v>
      </c>
      <c r="D296" s="3" t="s">
        <v>8</v>
      </c>
      <c r="E296" s="3" t="s">
        <v>7</v>
      </c>
      <c r="F296" s="10" t="str">
        <f t="shared" si="19"/>
        <v>Jan-2025</v>
      </c>
      <c r="G296" t="str">
        <f t="shared" si="16"/>
        <v>2025-01</v>
      </c>
      <c r="H296" s="10">
        <f>VLOOKUP(B296, Price_List!$A$3:$C$62, 2, FALSE)</f>
        <v>70</v>
      </c>
      <c r="I296" s="10">
        <f>VLOOKUP(B296, Price_List!$A$3:$C$62, 3, FALSE)</f>
        <v>140</v>
      </c>
      <c r="J296" s="10" t="str">
        <f t="shared" si="17"/>
        <v>Within Range</v>
      </c>
      <c r="K296" s="10">
        <f t="shared" si="18"/>
        <v>0</v>
      </c>
    </row>
    <row r="297" spans="1:11" ht="15.6" x14ac:dyDescent="0.3">
      <c r="A297" s="9">
        <v>45668</v>
      </c>
      <c r="B297" s="3" t="s">
        <v>5</v>
      </c>
      <c r="C297" s="13">
        <v>80</v>
      </c>
      <c r="D297" s="3" t="s">
        <v>8</v>
      </c>
      <c r="E297" s="3" t="s">
        <v>7</v>
      </c>
      <c r="F297" s="10" t="str">
        <f t="shared" si="19"/>
        <v>Jan-2025</v>
      </c>
      <c r="G297" t="str">
        <f t="shared" si="16"/>
        <v>2025-01</v>
      </c>
      <c r="H297" s="10">
        <f>VLOOKUP(B297, Price_List!$A$3:$C$62, 2, FALSE)</f>
        <v>60</v>
      </c>
      <c r="I297" s="10">
        <f>VLOOKUP(B297, Price_List!$A$3:$C$62, 3, FALSE)</f>
        <v>70</v>
      </c>
      <c r="J297" s="10" t="str">
        <f t="shared" si="17"/>
        <v>Above Max</v>
      </c>
      <c r="K297" s="10">
        <f t="shared" si="18"/>
        <v>0</v>
      </c>
    </row>
    <row r="298" spans="1:11" ht="15.6" x14ac:dyDescent="0.3">
      <c r="A298" s="9">
        <v>45668</v>
      </c>
      <c r="B298" s="3" t="s">
        <v>5</v>
      </c>
      <c r="C298" s="13">
        <v>60</v>
      </c>
      <c r="D298" s="3" t="s">
        <v>8</v>
      </c>
      <c r="E298" s="3" t="s">
        <v>7</v>
      </c>
      <c r="F298" s="10" t="str">
        <f t="shared" si="19"/>
        <v>Jan-2025</v>
      </c>
      <c r="G298" t="str">
        <f t="shared" si="16"/>
        <v>2025-01</v>
      </c>
      <c r="H298" s="10">
        <f>VLOOKUP(B298, Price_List!$A$3:$C$62, 2, FALSE)</f>
        <v>60</v>
      </c>
      <c r="I298" s="10">
        <f>VLOOKUP(B298, Price_List!$A$3:$C$62, 3, FALSE)</f>
        <v>70</v>
      </c>
      <c r="J298" s="10" t="str">
        <f t="shared" si="17"/>
        <v>Within Range</v>
      </c>
      <c r="K298" s="10">
        <f t="shared" si="18"/>
        <v>0</v>
      </c>
    </row>
    <row r="299" spans="1:11" ht="15.6" x14ac:dyDescent="0.3">
      <c r="A299" s="9">
        <v>45669</v>
      </c>
      <c r="B299" s="3" t="s">
        <v>5</v>
      </c>
      <c r="C299" s="13">
        <v>80</v>
      </c>
      <c r="D299" s="3" t="s">
        <v>8</v>
      </c>
      <c r="E299" s="3" t="s">
        <v>7</v>
      </c>
      <c r="F299" s="10" t="str">
        <f t="shared" si="19"/>
        <v>Jan-2025</v>
      </c>
      <c r="G299" t="str">
        <f t="shared" si="16"/>
        <v>2025-01</v>
      </c>
      <c r="H299" s="10">
        <f>VLOOKUP(B299, Price_List!$A$3:$C$62, 2, FALSE)</f>
        <v>60</v>
      </c>
      <c r="I299" s="10">
        <f>VLOOKUP(B299, Price_List!$A$3:$C$62, 3, FALSE)</f>
        <v>70</v>
      </c>
      <c r="J299" s="10" t="str">
        <f t="shared" si="17"/>
        <v>Above Max</v>
      </c>
      <c r="K299" s="10">
        <f t="shared" si="18"/>
        <v>0</v>
      </c>
    </row>
    <row r="300" spans="1:11" ht="15.6" x14ac:dyDescent="0.3">
      <c r="A300" s="9">
        <v>45669</v>
      </c>
      <c r="B300" s="3" t="s">
        <v>56</v>
      </c>
      <c r="C300" s="13">
        <v>500</v>
      </c>
      <c r="D300" s="3" t="s">
        <v>8</v>
      </c>
      <c r="E300" s="3" t="s">
        <v>7</v>
      </c>
      <c r="F300" s="10" t="str">
        <f t="shared" si="19"/>
        <v>Jan-2025</v>
      </c>
      <c r="G300" t="str">
        <f t="shared" si="16"/>
        <v>2025-01</v>
      </c>
      <c r="H300" s="10">
        <f>VLOOKUP(B300, Price_List!$A$3:$C$62, 2, FALSE)</f>
        <v>1000</v>
      </c>
      <c r="I300" s="10">
        <f>VLOOKUP(B300, Price_List!$A$3:$C$62, 3, FALSE)</f>
        <v>1000</v>
      </c>
      <c r="J300" s="10" t="str">
        <f t="shared" si="17"/>
        <v>Below Min(Bargain)</v>
      </c>
      <c r="K300" s="10">
        <f t="shared" si="18"/>
        <v>500</v>
      </c>
    </row>
    <row r="301" spans="1:11" ht="15.6" x14ac:dyDescent="0.3">
      <c r="A301" s="9">
        <v>45669</v>
      </c>
      <c r="B301" s="3" t="s">
        <v>5</v>
      </c>
      <c r="C301" s="13">
        <v>60</v>
      </c>
      <c r="D301" s="3" t="s">
        <v>8</v>
      </c>
      <c r="E301" s="3" t="s">
        <v>7</v>
      </c>
      <c r="F301" s="10" t="str">
        <f t="shared" si="19"/>
        <v>Jan-2025</v>
      </c>
      <c r="G301" t="str">
        <f t="shared" si="16"/>
        <v>2025-01</v>
      </c>
      <c r="H301" s="10">
        <f>VLOOKUP(B301, Price_List!$A$3:$C$62, 2, FALSE)</f>
        <v>60</v>
      </c>
      <c r="I301" s="10">
        <f>VLOOKUP(B301, Price_List!$A$3:$C$62, 3, FALSE)</f>
        <v>70</v>
      </c>
      <c r="J301" s="10" t="str">
        <f t="shared" si="17"/>
        <v>Within Range</v>
      </c>
      <c r="K301" s="10">
        <f t="shared" si="18"/>
        <v>0</v>
      </c>
    </row>
    <row r="302" spans="1:11" ht="15.6" x14ac:dyDescent="0.3">
      <c r="A302" s="9">
        <v>45670</v>
      </c>
      <c r="B302" s="15" t="s">
        <v>104</v>
      </c>
      <c r="C302" s="13">
        <v>400</v>
      </c>
      <c r="D302" s="3" t="s">
        <v>8</v>
      </c>
      <c r="E302" s="3" t="s">
        <v>7</v>
      </c>
      <c r="F302" s="10" t="str">
        <f t="shared" si="19"/>
        <v>Jan-2025</v>
      </c>
      <c r="G302" t="str">
        <f t="shared" si="16"/>
        <v>2025-01</v>
      </c>
      <c r="H302" s="10">
        <f>VLOOKUP(B302, Price_List!$A$3:$C$62, 2, FALSE)</f>
        <v>500</v>
      </c>
      <c r="I302" s="10">
        <f>VLOOKUP(B302, Price_List!$A$3:$C$62, 3, FALSE)</f>
        <v>500</v>
      </c>
      <c r="J302" s="10" t="str">
        <f t="shared" si="17"/>
        <v>Below Min(Bargain)</v>
      </c>
      <c r="K302" s="10">
        <f t="shared" si="18"/>
        <v>100</v>
      </c>
    </row>
    <row r="303" spans="1:11" ht="15.6" x14ac:dyDescent="0.3">
      <c r="A303" s="9">
        <v>45670</v>
      </c>
      <c r="B303" s="3" t="s">
        <v>5</v>
      </c>
      <c r="C303" s="13">
        <v>60</v>
      </c>
      <c r="D303" s="3" t="s">
        <v>6</v>
      </c>
      <c r="E303" s="3" t="s">
        <v>7</v>
      </c>
      <c r="F303" s="10" t="str">
        <f t="shared" si="19"/>
        <v>Jan-2025</v>
      </c>
      <c r="G303" t="str">
        <f t="shared" si="16"/>
        <v>2025-01</v>
      </c>
      <c r="H303" s="10">
        <f>VLOOKUP(B303, Price_List!$A$3:$C$62, 2, FALSE)</f>
        <v>60</v>
      </c>
      <c r="I303" s="10">
        <f>VLOOKUP(B303, Price_List!$A$3:$C$62, 3, FALSE)</f>
        <v>70</v>
      </c>
      <c r="J303" s="10" t="str">
        <f t="shared" si="17"/>
        <v>Within Range</v>
      </c>
      <c r="K303" s="10">
        <f t="shared" si="18"/>
        <v>0</v>
      </c>
    </row>
    <row r="304" spans="1:11" ht="15.6" x14ac:dyDescent="0.3">
      <c r="A304" s="9">
        <v>45670</v>
      </c>
      <c r="B304" s="3" t="s">
        <v>14</v>
      </c>
      <c r="C304" s="13">
        <v>700</v>
      </c>
      <c r="D304" s="3" t="s">
        <v>8</v>
      </c>
      <c r="E304" s="3" t="s">
        <v>7</v>
      </c>
      <c r="F304" s="10" t="str">
        <f t="shared" si="19"/>
        <v>Jan-2025</v>
      </c>
      <c r="G304" t="str">
        <f t="shared" si="16"/>
        <v>2025-01</v>
      </c>
      <c r="H304" s="10">
        <f>VLOOKUP(B304, Price_List!$A$3:$C$62, 2, FALSE)</f>
        <v>800</v>
      </c>
      <c r="I304" s="10">
        <f>VLOOKUP(B304, Price_List!$A$3:$C$62, 3, FALSE)</f>
        <v>1000</v>
      </c>
      <c r="J304" s="10" t="str">
        <f t="shared" si="17"/>
        <v>Below Min(Bargain)</v>
      </c>
      <c r="K304" s="10">
        <f t="shared" si="18"/>
        <v>100</v>
      </c>
    </row>
    <row r="305" spans="1:11" ht="15.6" x14ac:dyDescent="0.3">
      <c r="A305" s="9">
        <v>45670</v>
      </c>
      <c r="B305" s="15" t="s">
        <v>104</v>
      </c>
      <c r="C305" s="13">
        <v>450</v>
      </c>
      <c r="D305" s="3" t="s">
        <v>8</v>
      </c>
      <c r="E305" s="3" t="s">
        <v>7</v>
      </c>
      <c r="F305" s="10" t="str">
        <f t="shared" si="19"/>
        <v>Jan-2025</v>
      </c>
      <c r="G305" t="str">
        <f t="shared" si="16"/>
        <v>2025-01</v>
      </c>
      <c r="H305" s="10">
        <f>VLOOKUP(B305, Price_List!$A$3:$C$62, 2, FALSE)</f>
        <v>500</v>
      </c>
      <c r="I305" s="10">
        <f>VLOOKUP(B305, Price_List!$A$3:$C$62, 3, FALSE)</f>
        <v>500</v>
      </c>
      <c r="J305" s="10" t="str">
        <f t="shared" si="17"/>
        <v>Below Min(Bargain)</v>
      </c>
      <c r="K305" s="10">
        <f t="shared" si="18"/>
        <v>50</v>
      </c>
    </row>
    <row r="306" spans="1:11" ht="15.6" x14ac:dyDescent="0.3">
      <c r="A306" s="9">
        <v>45670</v>
      </c>
      <c r="B306" s="3" t="s">
        <v>13</v>
      </c>
      <c r="C306" s="13">
        <v>350</v>
      </c>
      <c r="D306" s="3" t="s">
        <v>8</v>
      </c>
      <c r="E306" s="3" t="s">
        <v>7</v>
      </c>
      <c r="F306" s="10" t="str">
        <f t="shared" si="19"/>
        <v>Jan-2025</v>
      </c>
      <c r="G306" t="str">
        <f t="shared" si="16"/>
        <v>2025-01</v>
      </c>
      <c r="H306" s="10">
        <f>VLOOKUP(B306, Price_List!$A$3:$C$62, 2, FALSE)</f>
        <v>350</v>
      </c>
      <c r="I306" s="10">
        <f>VLOOKUP(B306, Price_List!$A$3:$C$62, 3, FALSE)</f>
        <v>350</v>
      </c>
      <c r="J306" s="10" t="str">
        <f t="shared" si="17"/>
        <v>Within Range</v>
      </c>
      <c r="K306" s="10">
        <f t="shared" si="18"/>
        <v>0</v>
      </c>
    </row>
    <row r="307" spans="1:11" ht="15.6" x14ac:dyDescent="0.3">
      <c r="A307" s="9">
        <v>45670</v>
      </c>
      <c r="B307" s="15" t="s">
        <v>116</v>
      </c>
      <c r="C307" s="13">
        <v>1000</v>
      </c>
      <c r="D307" s="3" t="s">
        <v>8</v>
      </c>
      <c r="E307" s="3" t="s">
        <v>7</v>
      </c>
      <c r="F307" s="10" t="str">
        <f t="shared" si="19"/>
        <v>Jan-2025</v>
      </c>
      <c r="G307" t="str">
        <f t="shared" si="16"/>
        <v>2025-01</v>
      </c>
      <c r="H307" s="10">
        <f>VLOOKUP(B307, Price_List!$A$3:$C$62, 2, FALSE)</f>
        <v>1100</v>
      </c>
      <c r="I307" s="10">
        <f>VLOOKUP(B307, Price_List!$A$3:$C$62, 3, FALSE)</f>
        <v>1100</v>
      </c>
      <c r="J307" s="10" t="str">
        <f t="shared" si="17"/>
        <v>Below Min(Bargain)</v>
      </c>
      <c r="K307" s="10">
        <f t="shared" si="18"/>
        <v>100</v>
      </c>
    </row>
    <row r="308" spans="1:11" ht="15.6" x14ac:dyDescent="0.3">
      <c r="A308" s="9">
        <v>45670</v>
      </c>
      <c r="B308" s="3" t="s">
        <v>18</v>
      </c>
      <c r="C308" s="13">
        <v>350</v>
      </c>
      <c r="D308" s="3" t="s">
        <v>8</v>
      </c>
      <c r="E308" s="3" t="s">
        <v>7</v>
      </c>
      <c r="F308" s="10" t="str">
        <f t="shared" si="19"/>
        <v>Jan-2025</v>
      </c>
      <c r="G308" t="str">
        <f t="shared" si="16"/>
        <v>2025-01</v>
      </c>
      <c r="H308" s="10">
        <f>VLOOKUP(B308, Price_List!$A$3:$C$62, 2, FALSE)</f>
        <v>700</v>
      </c>
      <c r="I308" s="10">
        <f>VLOOKUP(B308, Price_List!$A$3:$C$62, 3, FALSE)</f>
        <v>700</v>
      </c>
      <c r="J308" s="10" t="str">
        <f t="shared" si="17"/>
        <v>Below Min(Bargain)</v>
      </c>
      <c r="K308" s="10">
        <f t="shared" si="18"/>
        <v>350</v>
      </c>
    </row>
    <row r="309" spans="1:11" ht="15.6" x14ac:dyDescent="0.3">
      <c r="A309" s="9">
        <v>45677</v>
      </c>
      <c r="B309" s="3" t="s">
        <v>5</v>
      </c>
      <c r="C309" s="13">
        <v>50</v>
      </c>
      <c r="D309" s="3" t="s">
        <v>8</v>
      </c>
      <c r="E309" s="3" t="s">
        <v>7</v>
      </c>
      <c r="F309" s="10" t="str">
        <f t="shared" si="19"/>
        <v>Jan-2025</v>
      </c>
      <c r="G309" t="str">
        <f t="shared" si="16"/>
        <v>2025-01</v>
      </c>
      <c r="H309" s="10">
        <f>VLOOKUP(B309, Price_List!$A$3:$C$62, 2, FALSE)</f>
        <v>60</v>
      </c>
      <c r="I309" s="10">
        <f>VLOOKUP(B309, Price_List!$A$3:$C$62, 3, FALSE)</f>
        <v>70</v>
      </c>
      <c r="J309" s="10" t="str">
        <f t="shared" si="17"/>
        <v>Below Min(Bargain)</v>
      </c>
      <c r="K309" s="10">
        <f t="shared" si="18"/>
        <v>10</v>
      </c>
    </row>
    <row r="310" spans="1:11" ht="15.6" x14ac:dyDescent="0.3">
      <c r="A310" s="9">
        <v>45677</v>
      </c>
      <c r="B310" s="3" t="s">
        <v>36</v>
      </c>
      <c r="C310" s="13">
        <v>220</v>
      </c>
      <c r="D310" s="3" t="s">
        <v>8</v>
      </c>
      <c r="E310" s="3" t="s">
        <v>7</v>
      </c>
      <c r="F310" s="10" t="str">
        <f t="shared" si="19"/>
        <v>Jan-2025</v>
      </c>
      <c r="G310" t="str">
        <f t="shared" si="16"/>
        <v>2025-01</v>
      </c>
      <c r="H310" s="10">
        <f>VLOOKUP(B310, Price_List!$A$3:$C$62, 2, FALSE)</f>
        <v>70</v>
      </c>
      <c r="I310" s="10">
        <f>VLOOKUP(B310, Price_List!$A$3:$C$62, 3, FALSE)</f>
        <v>140</v>
      </c>
      <c r="J310" s="10" t="str">
        <f t="shared" si="17"/>
        <v>Above Max</v>
      </c>
      <c r="K310" s="10">
        <f t="shared" si="18"/>
        <v>0</v>
      </c>
    </row>
    <row r="311" spans="1:11" ht="15.6" x14ac:dyDescent="0.3">
      <c r="A311" s="9">
        <v>45677</v>
      </c>
      <c r="B311" s="15" t="s">
        <v>112</v>
      </c>
      <c r="C311" s="13">
        <v>700</v>
      </c>
      <c r="D311" s="3" t="s">
        <v>8</v>
      </c>
      <c r="E311" s="3" t="s">
        <v>7</v>
      </c>
      <c r="F311" s="10" t="str">
        <f t="shared" si="19"/>
        <v>Jan-2025</v>
      </c>
      <c r="G311" t="str">
        <f t="shared" si="16"/>
        <v>2025-01</v>
      </c>
      <c r="H311" s="10">
        <f>VLOOKUP(B311, Price_List!$A$3:$C$62, 2, FALSE)</f>
        <v>700</v>
      </c>
      <c r="I311" s="10">
        <f>VLOOKUP(B311, Price_List!$A$3:$C$62, 3, FALSE)</f>
        <v>700</v>
      </c>
      <c r="J311" s="10" t="str">
        <f t="shared" si="17"/>
        <v>Within Range</v>
      </c>
      <c r="K311" s="10">
        <f t="shared" si="18"/>
        <v>0</v>
      </c>
    </row>
    <row r="312" spans="1:11" ht="15.6" x14ac:dyDescent="0.3">
      <c r="A312" s="9">
        <v>45677</v>
      </c>
      <c r="B312" s="3" t="s">
        <v>5</v>
      </c>
      <c r="C312" s="13">
        <v>50</v>
      </c>
      <c r="D312" s="3" t="s">
        <v>8</v>
      </c>
      <c r="E312" s="3" t="s">
        <v>7</v>
      </c>
      <c r="F312" s="10" t="str">
        <f t="shared" si="19"/>
        <v>Jan-2025</v>
      </c>
      <c r="G312" t="str">
        <f t="shared" si="16"/>
        <v>2025-01</v>
      </c>
      <c r="H312" s="10">
        <f>VLOOKUP(B312, Price_List!$A$3:$C$62, 2, FALSE)</f>
        <v>60</v>
      </c>
      <c r="I312" s="10">
        <f>VLOOKUP(B312, Price_List!$A$3:$C$62, 3, FALSE)</f>
        <v>70</v>
      </c>
      <c r="J312" s="10" t="str">
        <f t="shared" si="17"/>
        <v>Below Min(Bargain)</v>
      </c>
      <c r="K312" s="10">
        <f t="shared" si="18"/>
        <v>10</v>
      </c>
    </row>
    <row r="313" spans="1:11" ht="15.6" x14ac:dyDescent="0.3">
      <c r="A313" s="9">
        <v>45678</v>
      </c>
      <c r="B313" s="15" t="s">
        <v>103</v>
      </c>
      <c r="C313" s="13">
        <v>700</v>
      </c>
      <c r="D313" s="3" t="s">
        <v>8</v>
      </c>
      <c r="E313" s="3" t="s">
        <v>7</v>
      </c>
      <c r="F313" s="10" t="str">
        <f t="shared" si="19"/>
        <v>Jan-2025</v>
      </c>
      <c r="G313" t="str">
        <f t="shared" si="16"/>
        <v>2025-01</v>
      </c>
      <c r="H313" s="10">
        <f>VLOOKUP(B313, Price_List!$A$3:$C$62, 2, FALSE)</f>
        <v>800</v>
      </c>
      <c r="I313" s="10">
        <f>VLOOKUP(B313, Price_List!$A$3:$C$62, 3, FALSE)</f>
        <v>800</v>
      </c>
      <c r="J313" s="10" t="str">
        <f t="shared" si="17"/>
        <v>Below Min(Bargain)</v>
      </c>
      <c r="K313" s="10">
        <f t="shared" si="18"/>
        <v>100</v>
      </c>
    </row>
    <row r="314" spans="1:11" ht="15.6" x14ac:dyDescent="0.3">
      <c r="A314" s="9">
        <v>45679</v>
      </c>
      <c r="B314" s="15" t="s">
        <v>104</v>
      </c>
      <c r="C314" s="13">
        <v>500</v>
      </c>
      <c r="D314" s="3" t="s">
        <v>8</v>
      </c>
      <c r="E314" s="3" t="s">
        <v>7</v>
      </c>
      <c r="F314" s="10" t="str">
        <f t="shared" si="19"/>
        <v>Jan-2025</v>
      </c>
      <c r="G314" t="str">
        <f t="shared" si="16"/>
        <v>2025-01</v>
      </c>
      <c r="H314" s="10">
        <f>VLOOKUP(B314, Price_List!$A$3:$C$62, 2, FALSE)</f>
        <v>500</v>
      </c>
      <c r="I314" s="10">
        <f>VLOOKUP(B314, Price_List!$A$3:$C$62, 3, FALSE)</f>
        <v>500</v>
      </c>
      <c r="J314" s="10" t="str">
        <f t="shared" si="17"/>
        <v>Within Range</v>
      </c>
      <c r="K314" s="10">
        <f t="shared" si="18"/>
        <v>0</v>
      </c>
    </row>
    <row r="315" spans="1:11" ht="15.6" x14ac:dyDescent="0.3">
      <c r="A315" s="9">
        <v>45679</v>
      </c>
      <c r="B315" s="3" t="s">
        <v>36</v>
      </c>
      <c r="C315" s="13">
        <v>150</v>
      </c>
      <c r="D315" s="3" t="s">
        <v>8</v>
      </c>
      <c r="E315" s="3" t="s">
        <v>7</v>
      </c>
      <c r="F315" s="10" t="str">
        <f t="shared" si="19"/>
        <v>Jan-2025</v>
      </c>
      <c r="G315" t="str">
        <f t="shared" si="16"/>
        <v>2025-01</v>
      </c>
      <c r="H315" s="10">
        <f>VLOOKUP(B315, Price_List!$A$3:$C$62, 2, FALSE)</f>
        <v>70</v>
      </c>
      <c r="I315" s="10">
        <f>VLOOKUP(B315, Price_List!$A$3:$C$62, 3, FALSE)</f>
        <v>140</v>
      </c>
      <c r="J315" s="10" t="str">
        <f t="shared" si="17"/>
        <v>Above Max</v>
      </c>
      <c r="K315" s="10">
        <f t="shared" si="18"/>
        <v>0</v>
      </c>
    </row>
    <row r="316" spans="1:11" ht="15.6" x14ac:dyDescent="0.3">
      <c r="A316" s="9">
        <v>45679</v>
      </c>
      <c r="B316" s="15" t="s">
        <v>104</v>
      </c>
      <c r="C316" s="13">
        <v>500</v>
      </c>
      <c r="D316" s="3" t="s">
        <v>8</v>
      </c>
      <c r="E316" s="3" t="s">
        <v>7</v>
      </c>
      <c r="F316" s="10" t="str">
        <f t="shared" si="19"/>
        <v>Jan-2025</v>
      </c>
      <c r="G316" t="str">
        <f t="shared" si="16"/>
        <v>2025-01</v>
      </c>
      <c r="H316" s="10">
        <f>VLOOKUP(B316, Price_List!$A$3:$C$62, 2, FALSE)</f>
        <v>500</v>
      </c>
      <c r="I316" s="10">
        <f>VLOOKUP(B316, Price_List!$A$3:$C$62, 3, FALSE)</f>
        <v>500</v>
      </c>
      <c r="J316" s="10" t="str">
        <f t="shared" si="17"/>
        <v>Within Range</v>
      </c>
      <c r="K316" s="10">
        <f t="shared" si="18"/>
        <v>0</v>
      </c>
    </row>
    <row r="317" spans="1:11" ht="15.6" x14ac:dyDescent="0.3">
      <c r="A317" s="9">
        <v>45681</v>
      </c>
      <c r="B317" s="3" t="s">
        <v>14</v>
      </c>
      <c r="C317" s="13">
        <v>950</v>
      </c>
      <c r="D317" s="3" t="s">
        <v>8</v>
      </c>
      <c r="E317" s="3" t="s">
        <v>7</v>
      </c>
      <c r="F317" s="10" t="str">
        <f t="shared" si="19"/>
        <v>Jan-2025</v>
      </c>
      <c r="G317" t="str">
        <f t="shared" si="16"/>
        <v>2025-01</v>
      </c>
      <c r="H317" s="10">
        <f>VLOOKUP(B317, Price_List!$A$3:$C$62, 2, FALSE)</f>
        <v>800</v>
      </c>
      <c r="I317" s="10">
        <f>VLOOKUP(B317, Price_List!$A$3:$C$62, 3, FALSE)</f>
        <v>1000</v>
      </c>
      <c r="J317" s="10" t="str">
        <f t="shared" si="17"/>
        <v>Within Range</v>
      </c>
      <c r="K317" s="10">
        <f t="shared" si="18"/>
        <v>0</v>
      </c>
    </row>
    <row r="318" spans="1:11" ht="15.6" x14ac:dyDescent="0.3">
      <c r="A318" s="9">
        <v>45681</v>
      </c>
      <c r="B318" s="15" t="s">
        <v>116</v>
      </c>
      <c r="C318" s="13">
        <v>1100</v>
      </c>
      <c r="D318" s="3" t="s">
        <v>8</v>
      </c>
      <c r="E318" s="3" t="s">
        <v>7</v>
      </c>
      <c r="F318" s="10" t="str">
        <f t="shared" si="19"/>
        <v>Jan-2025</v>
      </c>
      <c r="G318" t="str">
        <f t="shared" si="16"/>
        <v>2025-01</v>
      </c>
      <c r="H318" s="10">
        <f>VLOOKUP(B318, Price_List!$A$3:$C$62, 2, FALSE)</f>
        <v>1100</v>
      </c>
      <c r="I318" s="10">
        <f>VLOOKUP(B318, Price_List!$A$3:$C$62, 3, FALSE)</f>
        <v>1100</v>
      </c>
      <c r="J318" s="10" t="str">
        <f t="shared" si="17"/>
        <v>Within Range</v>
      </c>
      <c r="K318" s="10">
        <f t="shared" si="18"/>
        <v>0</v>
      </c>
    </row>
    <row r="319" spans="1:11" ht="15.6" x14ac:dyDescent="0.3">
      <c r="A319" s="9">
        <v>45683</v>
      </c>
      <c r="B319" s="3" t="s">
        <v>12</v>
      </c>
      <c r="C319" s="13">
        <v>460</v>
      </c>
      <c r="D319" s="3" t="s">
        <v>8</v>
      </c>
      <c r="E319" s="3" t="s">
        <v>7</v>
      </c>
      <c r="F319" s="10" t="str">
        <f t="shared" si="19"/>
        <v>Jan-2025</v>
      </c>
      <c r="G319" t="str">
        <f t="shared" si="16"/>
        <v>2025-01</v>
      </c>
      <c r="H319" s="10">
        <f>VLOOKUP(B319, Price_List!$A$3:$C$62, 2, FALSE)</f>
        <v>350</v>
      </c>
      <c r="I319" s="10">
        <f>VLOOKUP(B319, Price_List!$A$3:$C$62, 3, FALSE)</f>
        <v>500</v>
      </c>
      <c r="J319" s="10" t="str">
        <f t="shared" si="17"/>
        <v>Within Range</v>
      </c>
      <c r="K319" s="10">
        <f t="shared" si="18"/>
        <v>0</v>
      </c>
    </row>
    <row r="320" spans="1:11" ht="15.6" x14ac:dyDescent="0.3">
      <c r="A320" s="9">
        <v>45684</v>
      </c>
      <c r="B320" s="3" t="s">
        <v>5</v>
      </c>
      <c r="C320" s="13">
        <v>50</v>
      </c>
      <c r="D320" s="3" t="s">
        <v>8</v>
      </c>
      <c r="E320" s="3" t="s">
        <v>7</v>
      </c>
      <c r="F320" s="10" t="str">
        <f t="shared" si="19"/>
        <v>Jan-2025</v>
      </c>
      <c r="G320" t="str">
        <f t="shared" si="16"/>
        <v>2025-01</v>
      </c>
      <c r="H320" s="10">
        <f>VLOOKUP(B320, Price_List!$A$3:$C$62, 2, FALSE)</f>
        <v>60</v>
      </c>
      <c r="I320" s="10">
        <f>VLOOKUP(B320, Price_List!$A$3:$C$62, 3, FALSE)</f>
        <v>70</v>
      </c>
      <c r="J320" s="10" t="str">
        <f t="shared" si="17"/>
        <v>Below Min(Bargain)</v>
      </c>
      <c r="K320" s="10">
        <f t="shared" si="18"/>
        <v>10</v>
      </c>
    </row>
    <row r="321" spans="1:11" ht="15.6" x14ac:dyDescent="0.3">
      <c r="A321" s="9">
        <v>45685</v>
      </c>
      <c r="B321" s="3" t="s">
        <v>56</v>
      </c>
      <c r="C321" s="13">
        <v>1500</v>
      </c>
      <c r="D321" s="3" t="s">
        <v>8</v>
      </c>
      <c r="E321" s="3" t="s">
        <v>7</v>
      </c>
      <c r="F321" s="10" t="str">
        <f t="shared" si="19"/>
        <v>Jan-2025</v>
      </c>
      <c r="G321" t="str">
        <f t="shared" si="16"/>
        <v>2025-01</v>
      </c>
      <c r="H321" s="10">
        <f>VLOOKUP(B321, Price_List!$A$3:$C$62, 2, FALSE)</f>
        <v>1000</v>
      </c>
      <c r="I321" s="10">
        <f>VLOOKUP(B321, Price_List!$A$3:$C$62, 3, FALSE)</f>
        <v>1000</v>
      </c>
      <c r="J321" s="10" t="str">
        <f t="shared" si="17"/>
        <v>Above Max</v>
      </c>
      <c r="K321" s="10">
        <f t="shared" si="18"/>
        <v>0</v>
      </c>
    </row>
    <row r="322" spans="1:11" ht="15.6" x14ac:dyDescent="0.3">
      <c r="A322" s="9">
        <v>45687</v>
      </c>
      <c r="B322" s="3" t="s">
        <v>5</v>
      </c>
      <c r="C322" s="13">
        <v>80</v>
      </c>
      <c r="D322" s="3" t="s">
        <v>6</v>
      </c>
      <c r="E322" s="3" t="s">
        <v>7</v>
      </c>
      <c r="F322" s="10" t="str">
        <f t="shared" si="19"/>
        <v>Jan-2025</v>
      </c>
      <c r="G322" t="str">
        <f t="shared" si="16"/>
        <v>2025-01</v>
      </c>
      <c r="H322" s="10">
        <f>VLOOKUP(B322, Price_List!$A$3:$C$62, 2, FALSE)</f>
        <v>60</v>
      </c>
      <c r="I322" s="10">
        <f>VLOOKUP(B322, Price_List!$A$3:$C$62, 3, FALSE)</f>
        <v>70</v>
      </c>
      <c r="J322" s="10" t="str">
        <f t="shared" si="17"/>
        <v>Above Max</v>
      </c>
      <c r="K322" s="10">
        <f t="shared" si="18"/>
        <v>0</v>
      </c>
    </row>
    <row r="323" spans="1:11" ht="15.6" x14ac:dyDescent="0.3">
      <c r="A323" s="9">
        <v>45689</v>
      </c>
      <c r="B323" s="3" t="s">
        <v>5</v>
      </c>
      <c r="C323" s="13">
        <v>60</v>
      </c>
      <c r="D323" s="3" t="s">
        <v>8</v>
      </c>
      <c r="E323" s="3" t="s">
        <v>7</v>
      </c>
      <c r="F323" s="10" t="str">
        <f t="shared" si="19"/>
        <v>Feb-2025</v>
      </c>
      <c r="G323" t="str">
        <f t="shared" ref="G323:G386" si="20">TEXT(A323,"yyyy-mm")</f>
        <v>2025-02</v>
      </c>
      <c r="H323" s="10">
        <f>VLOOKUP(B323, Price_List!$A$3:$C$62, 2, FALSE)</f>
        <v>60</v>
      </c>
      <c r="I323" s="10">
        <f>VLOOKUP(B323, Price_List!$A$3:$C$62, 3, FALSE)</f>
        <v>70</v>
      </c>
      <c r="J323" s="10" t="str">
        <f t="shared" ref="J323:J386" si="21">IF(C323 &lt; H323, "Below Min(Bargain)", IF(C323 &gt; I323, "Above Max", "Within Range"))</f>
        <v>Within Range</v>
      </c>
      <c r="K323" s="10">
        <f t="shared" ref="K323:K386" si="22">IF(C323 &lt; H323, H323 - C323, 0)</f>
        <v>0</v>
      </c>
    </row>
    <row r="324" spans="1:11" ht="15.6" x14ac:dyDescent="0.3">
      <c r="A324" s="9">
        <v>45690</v>
      </c>
      <c r="B324" s="3" t="s">
        <v>20</v>
      </c>
      <c r="C324" s="13">
        <v>900</v>
      </c>
      <c r="D324" s="3" t="s">
        <v>8</v>
      </c>
      <c r="E324" s="3" t="s">
        <v>7</v>
      </c>
      <c r="F324" s="10" t="str">
        <f t="shared" ref="F324:F387" si="23">TEXT(A324, "mmm-yyyy")</f>
        <v>Feb-2025</v>
      </c>
      <c r="G324" t="str">
        <f t="shared" si="20"/>
        <v>2025-02</v>
      </c>
      <c r="H324" s="10">
        <f>VLOOKUP(B324, Price_List!$A$3:$C$62, 2, FALSE)</f>
        <v>1000</v>
      </c>
      <c r="I324" s="10">
        <f>VLOOKUP(B324, Price_List!$A$3:$C$62, 3, FALSE)</f>
        <v>1000</v>
      </c>
      <c r="J324" s="10" t="str">
        <f t="shared" si="21"/>
        <v>Below Min(Bargain)</v>
      </c>
      <c r="K324" s="10">
        <f t="shared" si="22"/>
        <v>100</v>
      </c>
    </row>
    <row r="325" spans="1:11" ht="15.6" x14ac:dyDescent="0.3">
      <c r="A325" s="9">
        <v>45690</v>
      </c>
      <c r="B325" s="15" t="s">
        <v>102</v>
      </c>
      <c r="C325" s="13">
        <v>3000</v>
      </c>
      <c r="D325" s="3" t="s">
        <v>8</v>
      </c>
      <c r="E325" s="3" t="s">
        <v>7</v>
      </c>
      <c r="F325" s="10" t="str">
        <f t="shared" si="23"/>
        <v>Feb-2025</v>
      </c>
      <c r="G325" t="str">
        <f t="shared" si="20"/>
        <v>2025-02</v>
      </c>
      <c r="H325" s="10">
        <f>VLOOKUP(B325, Price_List!$A$3:$C$62, 2, FALSE)</f>
        <v>3000</v>
      </c>
      <c r="I325" s="10">
        <f>VLOOKUP(B325, Price_List!$A$3:$C$62, 3, FALSE)</f>
        <v>5000</v>
      </c>
      <c r="J325" s="10" t="str">
        <f t="shared" si="21"/>
        <v>Within Range</v>
      </c>
      <c r="K325" s="10">
        <f t="shared" si="22"/>
        <v>0</v>
      </c>
    </row>
    <row r="326" spans="1:11" ht="15.6" x14ac:dyDescent="0.3">
      <c r="A326" s="9">
        <v>45690</v>
      </c>
      <c r="B326" s="3" t="s">
        <v>11</v>
      </c>
      <c r="C326" s="13">
        <v>300</v>
      </c>
      <c r="D326" s="3" t="s">
        <v>8</v>
      </c>
      <c r="E326" s="3" t="s">
        <v>7</v>
      </c>
      <c r="F326" s="10" t="str">
        <f t="shared" si="23"/>
        <v>Feb-2025</v>
      </c>
      <c r="G326" t="str">
        <f t="shared" si="20"/>
        <v>2025-02</v>
      </c>
      <c r="H326" s="10">
        <f>VLOOKUP(B326, Price_List!$A$3:$C$62, 2, FALSE)</f>
        <v>350</v>
      </c>
      <c r="I326" s="10">
        <f>VLOOKUP(B326, Price_List!$A$3:$C$62, 3, FALSE)</f>
        <v>700</v>
      </c>
      <c r="J326" s="10" t="str">
        <f t="shared" si="21"/>
        <v>Below Min(Bargain)</v>
      </c>
      <c r="K326" s="10">
        <f t="shared" si="22"/>
        <v>50</v>
      </c>
    </row>
    <row r="327" spans="1:11" ht="15.6" x14ac:dyDescent="0.3">
      <c r="A327" s="9">
        <v>45691</v>
      </c>
      <c r="B327" s="3" t="s">
        <v>5</v>
      </c>
      <c r="C327" s="13">
        <v>60</v>
      </c>
      <c r="D327" s="3" t="s">
        <v>8</v>
      </c>
      <c r="E327" s="3" t="s">
        <v>7</v>
      </c>
      <c r="F327" s="10" t="str">
        <f t="shared" si="23"/>
        <v>Feb-2025</v>
      </c>
      <c r="G327" t="str">
        <f t="shared" si="20"/>
        <v>2025-02</v>
      </c>
      <c r="H327" s="10">
        <f>VLOOKUP(B327, Price_List!$A$3:$C$62, 2, FALSE)</f>
        <v>60</v>
      </c>
      <c r="I327" s="10">
        <f>VLOOKUP(B327, Price_List!$A$3:$C$62, 3, FALSE)</f>
        <v>70</v>
      </c>
      <c r="J327" s="10" t="str">
        <f t="shared" si="21"/>
        <v>Within Range</v>
      </c>
      <c r="K327" s="10">
        <f t="shared" si="22"/>
        <v>0</v>
      </c>
    </row>
    <row r="328" spans="1:11" ht="15.6" x14ac:dyDescent="0.3">
      <c r="A328" s="9">
        <v>45691</v>
      </c>
      <c r="B328" s="3" t="s">
        <v>36</v>
      </c>
      <c r="C328" s="13">
        <v>120</v>
      </c>
      <c r="D328" s="3" t="s">
        <v>8</v>
      </c>
      <c r="E328" s="3" t="s">
        <v>7</v>
      </c>
      <c r="F328" s="10" t="str">
        <f t="shared" si="23"/>
        <v>Feb-2025</v>
      </c>
      <c r="G328" t="str">
        <f t="shared" si="20"/>
        <v>2025-02</v>
      </c>
      <c r="H328" s="10">
        <f>VLOOKUP(B328, Price_List!$A$3:$C$62, 2, FALSE)</f>
        <v>70</v>
      </c>
      <c r="I328" s="10">
        <f>VLOOKUP(B328, Price_List!$A$3:$C$62, 3, FALSE)</f>
        <v>140</v>
      </c>
      <c r="J328" s="10" t="str">
        <f t="shared" si="21"/>
        <v>Within Range</v>
      </c>
      <c r="K328" s="10">
        <f t="shared" si="22"/>
        <v>0</v>
      </c>
    </row>
    <row r="329" spans="1:11" ht="15.6" x14ac:dyDescent="0.3">
      <c r="A329" s="9">
        <v>45691</v>
      </c>
      <c r="B329" s="3" t="s">
        <v>5</v>
      </c>
      <c r="C329" s="13">
        <v>60</v>
      </c>
      <c r="D329" s="3" t="s">
        <v>8</v>
      </c>
      <c r="E329" s="3" t="s">
        <v>7</v>
      </c>
      <c r="F329" s="10" t="str">
        <f t="shared" si="23"/>
        <v>Feb-2025</v>
      </c>
      <c r="G329" t="str">
        <f t="shared" si="20"/>
        <v>2025-02</v>
      </c>
      <c r="H329" s="10">
        <f>VLOOKUP(B329, Price_List!$A$3:$C$62, 2, FALSE)</f>
        <v>60</v>
      </c>
      <c r="I329" s="10">
        <f>VLOOKUP(B329, Price_List!$A$3:$C$62, 3, FALSE)</f>
        <v>70</v>
      </c>
      <c r="J329" s="10" t="str">
        <f t="shared" si="21"/>
        <v>Within Range</v>
      </c>
      <c r="K329" s="10">
        <f t="shared" si="22"/>
        <v>0</v>
      </c>
    </row>
    <row r="330" spans="1:11" ht="15.6" x14ac:dyDescent="0.3">
      <c r="A330" s="9">
        <v>45691</v>
      </c>
      <c r="B330" s="3" t="s">
        <v>59</v>
      </c>
      <c r="C330" s="13">
        <v>300</v>
      </c>
      <c r="D330" s="3" t="s">
        <v>6</v>
      </c>
      <c r="E330" s="3" t="s">
        <v>60</v>
      </c>
      <c r="F330" s="10" t="str">
        <f t="shared" si="23"/>
        <v>Feb-2025</v>
      </c>
      <c r="G330" t="str">
        <f t="shared" si="20"/>
        <v>2025-02</v>
      </c>
      <c r="H330" s="10">
        <f>VLOOKUP(B330, Price_List!$A$3:$C$62, 2, FALSE)</f>
        <v>50</v>
      </c>
      <c r="I330" s="10">
        <f>VLOOKUP(B330, Price_List!$A$3:$C$62, 3, FALSE)</f>
        <v>150</v>
      </c>
      <c r="J330" s="10" t="str">
        <f t="shared" si="21"/>
        <v>Above Max</v>
      </c>
      <c r="K330" s="10">
        <f t="shared" si="22"/>
        <v>0</v>
      </c>
    </row>
    <row r="331" spans="1:11" ht="15.6" x14ac:dyDescent="0.3">
      <c r="A331" s="9">
        <v>45692</v>
      </c>
      <c r="B331" s="3" t="s">
        <v>22</v>
      </c>
      <c r="C331" s="13">
        <v>200</v>
      </c>
      <c r="D331" s="3" t="s">
        <v>8</v>
      </c>
      <c r="E331" s="3" t="s">
        <v>7</v>
      </c>
      <c r="F331" s="10" t="str">
        <f t="shared" si="23"/>
        <v>Feb-2025</v>
      </c>
      <c r="G331" t="str">
        <f t="shared" si="20"/>
        <v>2025-02</v>
      </c>
      <c r="H331" s="10">
        <f>VLOOKUP(B331, Price_List!$A$3:$C$62, 2, FALSE)</f>
        <v>250</v>
      </c>
      <c r="I331" s="10">
        <f>VLOOKUP(B331, Price_List!$A$3:$C$62, 3, FALSE)</f>
        <v>250</v>
      </c>
      <c r="J331" s="10" t="str">
        <f t="shared" si="21"/>
        <v>Below Min(Bargain)</v>
      </c>
      <c r="K331" s="10">
        <f t="shared" si="22"/>
        <v>50</v>
      </c>
    </row>
    <row r="332" spans="1:11" ht="15.6" x14ac:dyDescent="0.3">
      <c r="A332" s="9">
        <v>45692</v>
      </c>
      <c r="B332" s="3" t="s">
        <v>5</v>
      </c>
      <c r="C332" s="13">
        <v>60</v>
      </c>
      <c r="D332" s="3" t="s">
        <v>6</v>
      </c>
      <c r="E332" s="3" t="s">
        <v>7</v>
      </c>
      <c r="F332" s="10" t="str">
        <f t="shared" si="23"/>
        <v>Feb-2025</v>
      </c>
      <c r="G332" t="str">
        <f t="shared" si="20"/>
        <v>2025-02</v>
      </c>
      <c r="H332" s="10">
        <f>VLOOKUP(B332, Price_List!$A$3:$C$62, 2, FALSE)</f>
        <v>60</v>
      </c>
      <c r="I332" s="10">
        <f>VLOOKUP(B332, Price_List!$A$3:$C$62, 3, FALSE)</f>
        <v>70</v>
      </c>
      <c r="J332" s="10" t="str">
        <f t="shared" si="21"/>
        <v>Within Range</v>
      </c>
      <c r="K332" s="10">
        <f t="shared" si="22"/>
        <v>0</v>
      </c>
    </row>
    <row r="333" spans="1:11" ht="15.6" x14ac:dyDescent="0.3">
      <c r="A333" s="9">
        <v>45692</v>
      </c>
      <c r="B333" s="15" t="s">
        <v>103</v>
      </c>
      <c r="C333" s="13">
        <v>630</v>
      </c>
      <c r="D333" s="3" t="s">
        <v>8</v>
      </c>
      <c r="E333" s="3" t="s">
        <v>7</v>
      </c>
      <c r="F333" s="10" t="str">
        <f t="shared" si="23"/>
        <v>Feb-2025</v>
      </c>
      <c r="G333" t="str">
        <f t="shared" si="20"/>
        <v>2025-02</v>
      </c>
      <c r="H333" s="10">
        <f>VLOOKUP(B333, Price_List!$A$3:$C$62, 2, FALSE)</f>
        <v>800</v>
      </c>
      <c r="I333" s="10">
        <f>VLOOKUP(B333, Price_List!$A$3:$C$62, 3, FALSE)</f>
        <v>800</v>
      </c>
      <c r="J333" s="10" t="str">
        <f t="shared" si="21"/>
        <v>Below Min(Bargain)</v>
      </c>
      <c r="K333" s="10">
        <f t="shared" si="22"/>
        <v>170</v>
      </c>
    </row>
    <row r="334" spans="1:11" ht="15.6" x14ac:dyDescent="0.3">
      <c r="A334" s="9">
        <v>45692</v>
      </c>
      <c r="B334" s="3" t="s">
        <v>119</v>
      </c>
      <c r="C334" s="13">
        <v>300</v>
      </c>
      <c r="D334" s="3" t="s">
        <v>6</v>
      </c>
      <c r="E334" s="3" t="s">
        <v>60</v>
      </c>
      <c r="F334" s="10" t="str">
        <f t="shared" si="23"/>
        <v>Feb-2025</v>
      </c>
      <c r="G334" t="str">
        <f t="shared" si="20"/>
        <v>2025-02</v>
      </c>
      <c r="H334" s="10">
        <f>VLOOKUP(B334, Price_List!$A$3:$C$62, 2, FALSE)</f>
        <v>200</v>
      </c>
      <c r="I334" s="10">
        <f>VLOOKUP(B334, Price_List!$A$3:$C$62, 3, FALSE)</f>
        <v>300</v>
      </c>
      <c r="J334" s="10" t="str">
        <f t="shared" si="21"/>
        <v>Within Range</v>
      </c>
      <c r="K334" s="10">
        <f t="shared" si="22"/>
        <v>0</v>
      </c>
    </row>
    <row r="335" spans="1:11" ht="15.6" x14ac:dyDescent="0.3">
      <c r="A335" s="9">
        <v>45693</v>
      </c>
      <c r="B335" s="15" t="s">
        <v>120</v>
      </c>
      <c r="C335" s="13">
        <v>1000</v>
      </c>
      <c r="D335" s="3" t="s">
        <v>8</v>
      </c>
      <c r="E335" s="3" t="s">
        <v>7</v>
      </c>
      <c r="F335" s="10" t="str">
        <f t="shared" si="23"/>
        <v>Feb-2025</v>
      </c>
      <c r="G335" t="str">
        <f t="shared" si="20"/>
        <v>2025-02</v>
      </c>
      <c r="H335" s="10">
        <f>VLOOKUP(B335, Price_List!$A$3:$C$62, 2, FALSE)</f>
        <v>1000</v>
      </c>
      <c r="I335" s="10">
        <f>VLOOKUP(B335, Price_List!$A$3:$C$62, 3, FALSE)</f>
        <v>1000</v>
      </c>
      <c r="J335" s="10" t="str">
        <f t="shared" si="21"/>
        <v>Within Range</v>
      </c>
      <c r="K335" s="10">
        <f t="shared" si="22"/>
        <v>0</v>
      </c>
    </row>
    <row r="336" spans="1:11" ht="15.6" x14ac:dyDescent="0.3">
      <c r="A336" s="9">
        <v>45693</v>
      </c>
      <c r="B336" s="3" t="s">
        <v>44</v>
      </c>
      <c r="C336" s="13">
        <v>600</v>
      </c>
      <c r="D336" s="3" t="s">
        <v>8</v>
      </c>
      <c r="E336" s="3" t="s">
        <v>7</v>
      </c>
      <c r="F336" s="10" t="str">
        <f t="shared" si="23"/>
        <v>Feb-2025</v>
      </c>
      <c r="G336" t="str">
        <f t="shared" si="20"/>
        <v>2025-02</v>
      </c>
      <c r="H336" s="10">
        <f>VLOOKUP(B336, Price_List!$A$3:$C$62, 2, FALSE)</f>
        <v>300</v>
      </c>
      <c r="I336" s="10">
        <f>VLOOKUP(B336, Price_List!$A$3:$C$62, 3, FALSE)</f>
        <v>500</v>
      </c>
      <c r="J336" s="10" t="str">
        <f t="shared" si="21"/>
        <v>Above Max</v>
      </c>
      <c r="K336" s="10">
        <f t="shared" si="22"/>
        <v>0</v>
      </c>
    </row>
    <row r="337" spans="1:11" ht="15.6" x14ac:dyDescent="0.3">
      <c r="A337" s="9">
        <v>45694</v>
      </c>
      <c r="B337" s="3" t="s">
        <v>14</v>
      </c>
      <c r="C337" s="13">
        <v>960</v>
      </c>
      <c r="D337" s="3" t="s">
        <v>8</v>
      </c>
      <c r="E337" s="3" t="s">
        <v>7</v>
      </c>
      <c r="F337" s="10" t="str">
        <f t="shared" si="23"/>
        <v>Feb-2025</v>
      </c>
      <c r="G337" t="str">
        <f t="shared" si="20"/>
        <v>2025-02</v>
      </c>
      <c r="H337" s="10">
        <f>VLOOKUP(B337, Price_List!$A$3:$C$62, 2, FALSE)</f>
        <v>800</v>
      </c>
      <c r="I337" s="10">
        <f>VLOOKUP(B337, Price_List!$A$3:$C$62, 3, FALSE)</f>
        <v>1000</v>
      </c>
      <c r="J337" s="10" t="str">
        <f t="shared" si="21"/>
        <v>Within Range</v>
      </c>
      <c r="K337" s="10">
        <f t="shared" si="22"/>
        <v>0</v>
      </c>
    </row>
    <row r="338" spans="1:11" ht="15.6" x14ac:dyDescent="0.3">
      <c r="A338" s="9">
        <v>45694</v>
      </c>
      <c r="B338" s="15" t="s">
        <v>120</v>
      </c>
      <c r="C338" s="13">
        <v>1000</v>
      </c>
      <c r="D338" s="3" t="s">
        <v>8</v>
      </c>
      <c r="E338" s="3" t="s">
        <v>7</v>
      </c>
      <c r="F338" s="10" t="str">
        <f t="shared" si="23"/>
        <v>Feb-2025</v>
      </c>
      <c r="G338" t="str">
        <f t="shared" si="20"/>
        <v>2025-02</v>
      </c>
      <c r="H338" s="10">
        <f>VLOOKUP(B338, Price_List!$A$3:$C$62, 2, FALSE)</f>
        <v>1000</v>
      </c>
      <c r="I338" s="10">
        <f>VLOOKUP(B338, Price_List!$A$3:$C$62, 3, FALSE)</f>
        <v>1000</v>
      </c>
      <c r="J338" s="10" t="str">
        <f t="shared" si="21"/>
        <v>Within Range</v>
      </c>
      <c r="K338" s="10">
        <f t="shared" si="22"/>
        <v>0</v>
      </c>
    </row>
    <row r="339" spans="1:11" ht="15.6" x14ac:dyDescent="0.3">
      <c r="A339" s="9">
        <v>45694</v>
      </c>
      <c r="B339" s="3" t="s">
        <v>5</v>
      </c>
      <c r="C339" s="13">
        <v>80</v>
      </c>
      <c r="D339" s="3" t="s">
        <v>6</v>
      </c>
      <c r="E339" s="3" t="s">
        <v>7</v>
      </c>
      <c r="F339" s="10" t="str">
        <f t="shared" si="23"/>
        <v>Feb-2025</v>
      </c>
      <c r="G339" t="str">
        <f t="shared" si="20"/>
        <v>2025-02</v>
      </c>
      <c r="H339" s="10">
        <f>VLOOKUP(B339, Price_List!$A$3:$C$62, 2, FALSE)</f>
        <v>60</v>
      </c>
      <c r="I339" s="10">
        <f>VLOOKUP(B339, Price_List!$A$3:$C$62, 3, FALSE)</f>
        <v>70</v>
      </c>
      <c r="J339" s="10" t="str">
        <f t="shared" si="21"/>
        <v>Above Max</v>
      </c>
      <c r="K339" s="10">
        <f t="shared" si="22"/>
        <v>0</v>
      </c>
    </row>
    <row r="340" spans="1:11" ht="15.6" x14ac:dyDescent="0.3">
      <c r="A340" s="9">
        <v>45694</v>
      </c>
      <c r="B340" s="3" t="s">
        <v>121</v>
      </c>
      <c r="C340" s="13">
        <v>1000</v>
      </c>
      <c r="D340" s="3" t="s">
        <v>8</v>
      </c>
      <c r="E340" s="3" t="s">
        <v>60</v>
      </c>
      <c r="F340" s="10" t="str">
        <f t="shared" si="23"/>
        <v>Feb-2025</v>
      </c>
      <c r="G340" t="str">
        <f t="shared" si="20"/>
        <v>2025-02</v>
      </c>
      <c r="H340" s="10">
        <f>VLOOKUP(B340, Price_List!$A$3:$C$62, 2, FALSE)</f>
        <v>1000</v>
      </c>
      <c r="I340" s="10">
        <f>VLOOKUP(B340, Price_List!$A$3:$C$62, 3, FALSE)</f>
        <v>1500</v>
      </c>
      <c r="J340" s="10" t="str">
        <f t="shared" si="21"/>
        <v>Within Range</v>
      </c>
      <c r="K340" s="10">
        <f t="shared" si="22"/>
        <v>0</v>
      </c>
    </row>
    <row r="341" spans="1:11" ht="15.6" x14ac:dyDescent="0.3">
      <c r="A341" s="9">
        <v>45694</v>
      </c>
      <c r="B341" s="3" t="s">
        <v>63</v>
      </c>
      <c r="C341" s="13">
        <v>400</v>
      </c>
      <c r="D341" s="3" t="s">
        <v>6</v>
      </c>
      <c r="E341" s="3" t="s">
        <v>60</v>
      </c>
      <c r="F341" s="10" t="str">
        <f t="shared" si="23"/>
        <v>Feb-2025</v>
      </c>
      <c r="G341" t="str">
        <f t="shared" si="20"/>
        <v>2025-02</v>
      </c>
      <c r="H341" s="10">
        <f>VLOOKUP(B341, Price_List!$A$3:$C$62, 2, FALSE)</f>
        <v>600</v>
      </c>
      <c r="I341" s="10">
        <f>VLOOKUP(B341, Price_List!$A$3:$C$62, 3, FALSE)</f>
        <v>800</v>
      </c>
      <c r="J341" s="10" t="str">
        <f t="shared" si="21"/>
        <v>Below Min(Bargain)</v>
      </c>
      <c r="K341" s="10">
        <f t="shared" si="22"/>
        <v>200</v>
      </c>
    </row>
    <row r="342" spans="1:11" ht="15.6" x14ac:dyDescent="0.3">
      <c r="A342" s="9">
        <v>45695</v>
      </c>
      <c r="B342" s="3" t="s">
        <v>59</v>
      </c>
      <c r="C342" s="13">
        <v>90</v>
      </c>
      <c r="D342" s="3" t="s">
        <v>6</v>
      </c>
      <c r="E342" s="3" t="s">
        <v>60</v>
      </c>
      <c r="F342" s="10" t="str">
        <f t="shared" si="23"/>
        <v>Feb-2025</v>
      </c>
      <c r="G342" t="str">
        <f t="shared" si="20"/>
        <v>2025-02</v>
      </c>
      <c r="H342" s="10">
        <f>VLOOKUP(B342, Price_List!$A$3:$C$62, 2, FALSE)</f>
        <v>50</v>
      </c>
      <c r="I342" s="10">
        <f>VLOOKUP(B342, Price_List!$A$3:$C$62, 3, FALSE)</f>
        <v>150</v>
      </c>
      <c r="J342" s="10" t="str">
        <f t="shared" si="21"/>
        <v>Within Range</v>
      </c>
      <c r="K342" s="10">
        <f t="shared" si="22"/>
        <v>0</v>
      </c>
    </row>
    <row r="343" spans="1:11" ht="15.6" x14ac:dyDescent="0.3">
      <c r="A343" s="9">
        <v>45696</v>
      </c>
      <c r="B343" s="3" t="s">
        <v>122</v>
      </c>
      <c r="C343" s="13">
        <v>4000</v>
      </c>
      <c r="D343" s="3" t="s">
        <v>6</v>
      </c>
      <c r="E343" s="3" t="s">
        <v>60</v>
      </c>
      <c r="F343" s="10" t="str">
        <f t="shared" si="23"/>
        <v>Feb-2025</v>
      </c>
      <c r="G343" t="str">
        <f t="shared" si="20"/>
        <v>2025-02</v>
      </c>
      <c r="H343" s="10">
        <f>VLOOKUP(B343, Price_List!$A$3:$C$62, 2, FALSE)</f>
        <v>1000</v>
      </c>
      <c r="I343" s="10">
        <f>VLOOKUP(B343, Price_List!$A$3:$C$62, 3, FALSE)</f>
        <v>6000</v>
      </c>
      <c r="J343" s="10" t="str">
        <f t="shared" si="21"/>
        <v>Within Range</v>
      </c>
      <c r="K343" s="10">
        <f t="shared" si="22"/>
        <v>0</v>
      </c>
    </row>
    <row r="344" spans="1:11" ht="15.6" x14ac:dyDescent="0.3">
      <c r="A344" s="9">
        <v>45697</v>
      </c>
      <c r="B344" s="3" t="s">
        <v>123</v>
      </c>
      <c r="C344" s="13">
        <v>300</v>
      </c>
      <c r="D344" s="3" t="s">
        <v>6</v>
      </c>
      <c r="E344" s="3" t="s">
        <v>60</v>
      </c>
      <c r="F344" s="10" t="str">
        <f t="shared" si="23"/>
        <v>Feb-2025</v>
      </c>
      <c r="G344" t="str">
        <f t="shared" si="20"/>
        <v>2025-02</v>
      </c>
      <c r="H344" s="10">
        <f>VLOOKUP(B344, Price_List!$A$3:$C$62, 2, FALSE)</f>
        <v>200</v>
      </c>
      <c r="I344" s="10">
        <f>VLOOKUP(B344, Price_List!$A$3:$C$62, 3, FALSE)</f>
        <v>500</v>
      </c>
      <c r="J344" s="10" t="str">
        <f t="shared" si="21"/>
        <v>Within Range</v>
      </c>
      <c r="K344" s="10">
        <f t="shared" si="22"/>
        <v>0</v>
      </c>
    </row>
    <row r="345" spans="1:11" ht="15.6" x14ac:dyDescent="0.3">
      <c r="A345" s="9">
        <v>45697</v>
      </c>
      <c r="B345" s="3" t="s">
        <v>123</v>
      </c>
      <c r="C345" s="13">
        <v>200</v>
      </c>
      <c r="D345" s="3" t="s">
        <v>6</v>
      </c>
      <c r="E345" s="3" t="s">
        <v>60</v>
      </c>
      <c r="F345" s="10" t="str">
        <f t="shared" si="23"/>
        <v>Feb-2025</v>
      </c>
      <c r="G345" t="str">
        <f t="shared" si="20"/>
        <v>2025-02</v>
      </c>
      <c r="H345" s="10">
        <f>VLOOKUP(B345, Price_List!$A$3:$C$62, 2, FALSE)</f>
        <v>200</v>
      </c>
      <c r="I345" s="10">
        <f>VLOOKUP(B345, Price_List!$A$3:$C$62, 3, FALSE)</f>
        <v>500</v>
      </c>
      <c r="J345" s="10" t="str">
        <f t="shared" si="21"/>
        <v>Within Range</v>
      </c>
      <c r="K345" s="10">
        <f t="shared" si="22"/>
        <v>0</v>
      </c>
    </row>
    <row r="346" spans="1:11" ht="15.6" x14ac:dyDescent="0.3">
      <c r="A346" s="9">
        <v>45699</v>
      </c>
      <c r="B346" s="3" t="s">
        <v>5</v>
      </c>
      <c r="C346" s="13">
        <v>60</v>
      </c>
      <c r="D346" s="3" t="s">
        <v>8</v>
      </c>
      <c r="E346" s="3" t="s">
        <v>7</v>
      </c>
      <c r="F346" s="10" t="str">
        <f t="shared" si="23"/>
        <v>Feb-2025</v>
      </c>
      <c r="G346" t="str">
        <f t="shared" si="20"/>
        <v>2025-02</v>
      </c>
      <c r="H346" s="10">
        <f>VLOOKUP(B346, Price_List!$A$3:$C$62, 2, FALSE)</f>
        <v>60</v>
      </c>
      <c r="I346" s="10">
        <f>VLOOKUP(B346, Price_List!$A$3:$C$62, 3, FALSE)</f>
        <v>70</v>
      </c>
      <c r="J346" s="10" t="str">
        <f t="shared" si="21"/>
        <v>Within Range</v>
      </c>
      <c r="K346" s="10">
        <f t="shared" si="22"/>
        <v>0</v>
      </c>
    </row>
    <row r="347" spans="1:11" ht="15.6" x14ac:dyDescent="0.3">
      <c r="A347" s="9">
        <v>45699</v>
      </c>
      <c r="B347" s="3" t="s">
        <v>5</v>
      </c>
      <c r="C347" s="13">
        <v>90</v>
      </c>
      <c r="D347" s="3" t="s">
        <v>8</v>
      </c>
      <c r="E347" s="3" t="s">
        <v>7</v>
      </c>
      <c r="F347" s="10" t="str">
        <f t="shared" si="23"/>
        <v>Feb-2025</v>
      </c>
      <c r="G347" t="str">
        <f t="shared" si="20"/>
        <v>2025-02</v>
      </c>
      <c r="H347" s="10">
        <f>VLOOKUP(B347, Price_List!$A$3:$C$62, 2, FALSE)</f>
        <v>60</v>
      </c>
      <c r="I347" s="10">
        <f>VLOOKUP(B347, Price_List!$A$3:$C$62, 3, FALSE)</f>
        <v>70</v>
      </c>
      <c r="J347" s="10" t="str">
        <f t="shared" si="21"/>
        <v>Above Max</v>
      </c>
      <c r="K347" s="10">
        <f t="shared" si="22"/>
        <v>0</v>
      </c>
    </row>
    <row r="348" spans="1:11" ht="15.6" x14ac:dyDescent="0.3">
      <c r="A348" s="9">
        <v>45697</v>
      </c>
      <c r="B348" s="3" t="s">
        <v>123</v>
      </c>
      <c r="C348" s="13">
        <v>300</v>
      </c>
      <c r="D348" s="3" t="s">
        <v>6</v>
      </c>
      <c r="E348" s="3" t="s">
        <v>60</v>
      </c>
      <c r="F348" s="10" t="str">
        <f t="shared" si="23"/>
        <v>Feb-2025</v>
      </c>
      <c r="G348" t="str">
        <f t="shared" si="20"/>
        <v>2025-02</v>
      </c>
      <c r="H348" s="10">
        <f>VLOOKUP(B348, Price_List!$A$3:$C$62, 2, FALSE)</f>
        <v>200</v>
      </c>
      <c r="I348" s="10">
        <f>VLOOKUP(B348, Price_List!$A$3:$C$62, 3, FALSE)</f>
        <v>500</v>
      </c>
      <c r="J348" s="10" t="str">
        <f t="shared" si="21"/>
        <v>Within Range</v>
      </c>
      <c r="K348" s="10">
        <f t="shared" si="22"/>
        <v>0</v>
      </c>
    </row>
    <row r="349" spans="1:11" ht="15.6" x14ac:dyDescent="0.3">
      <c r="A349" s="9">
        <v>45698</v>
      </c>
      <c r="B349" s="3" t="s">
        <v>78</v>
      </c>
      <c r="C349" s="13">
        <v>800</v>
      </c>
      <c r="D349" s="3" t="s">
        <v>6</v>
      </c>
      <c r="E349" s="3" t="s">
        <v>60</v>
      </c>
      <c r="F349" s="10" t="str">
        <f t="shared" si="23"/>
        <v>Feb-2025</v>
      </c>
      <c r="G349" t="str">
        <f t="shared" si="20"/>
        <v>2025-02</v>
      </c>
      <c r="H349" s="10">
        <f>VLOOKUP(B349, Price_List!$A$3:$C$62, 2, FALSE)</f>
        <v>300</v>
      </c>
      <c r="I349" s="10">
        <f>VLOOKUP(B349, Price_List!$A$3:$C$62, 3, FALSE)</f>
        <v>500</v>
      </c>
      <c r="J349" s="10" t="str">
        <f t="shared" si="21"/>
        <v>Above Max</v>
      </c>
      <c r="K349" s="10">
        <f t="shared" si="22"/>
        <v>0</v>
      </c>
    </row>
    <row r="350" spans="1:11" ht="15.6" x14ac:dyDescent="0.3">
      <c r="A350" s="9">
        <v>45699</v>
      </c>
      <c r="B350" s="3" t="s">
        <v>124</v>
      </c>
      <c r="C350" s="13">
        <v>500</v>
      </c>
      <c r="D350" s="3" t="s">
        <v>6</v>
      </c>
      <c r="E350" s="3" t="s">
        <v>60</v>
      </c>
      <c r="F350" s="10" t="str">
        <f t="shared" si="23"/>
        <v>Feb-2025</v>
      </c>
      <c r="G350" t="str">
        <f t="shared" si="20"/>
        <v>2025-02</v>
      </c>
      <c r="H350" s="10">
        <f>VLOOKUP(B350, Price_List!$A$3:$C$62, 2, FALSE)</f>
        <v>500</v>
      </c>
      <c r="I350" s="10">
        <f>VLOOKUP(B350, Price_List!$A$3:$C$62, 3, FALSE)</f>
        <v>500</v>
      </c>
      <c r="J350" s="10" t="str">
        <f t="shared" si="21"/>
        <v>Within Range</v>
      </c>
      <c r="K350" s="10">
        <f t="shared" si="22"/>
        <v>0</v>
      </c>
    </row>
    <row r="351" spans="1:11" ht="15.6" x14ac:dyDescent="0.3">
      <c r="A351" s="9">
        <v>45699</v>
      </c>
      <c r="B351" s="3" t="s">
        <v>124</v>
      </c>
      <c r="C351" s="13">
        <v>500</v>
      </c>
      <c r="D351" s="3" t="s">
        <v>6</v>
      </c>
      <c r="E351" s="3" t="s">
        <v>60</v>
      </c>
      <c r="F351" s="10" t="str">
        <f t="shared" si="23"/>
        <v>Feb-2025</v>
      </c>
      <c r="G351" t="str">
        <f t="shared" si="20"/>
        <v>2025-02</v>
      </c>
      <c r="H351" s="10">
        <f>VLOOKUP(B351, Price_List!$A$3:$C$62, 2, FALSE)</f>
        <v>500</v>
      </c>
      <c r="I351" s="10">
        <f>VLOOKUP(B351, Price_List!$A$3:$C$62, 3, FALSE)</f>
        <v>500</v>
      </c>
      <c r="J351" s="10" t="str">
        <f t="shared" si="21"/>
        <v>Within Range</v>
      </c>
      <c r="K351" s="10">
        <f t="shared" si="22"/>
        <v>0</v>
      </c>
    </row>
    <row r="352" spans="1:11" ht="15.6" x14ac:dyDescent="0.3">
      <c r="A352" s="9">
        <v>45699</v>
      </c>
      <c r="B352" s="3" t="s">
        <v>124</v>
      </c>
      <c r="C352" s="13">
        <v>500</v>
      </c>
      <c r="D352" s="3" t="s">
        <v>6</v>
      </c>
      <c r="E352" s="3" t="s">
        <v>60</v>
      </c>
      <c r="F352" s="10" t="str">
        <f t="shared" si="23"/>
        <v>Feb-2025</v>
      </c>
      <c r="G352" t="str">
        <f t="shared" si="20"/>
        <v>2025-02</v>
      </c>
      <c r="H352" s="10">
        <f>VLOOKUP(B352, Price_List!$A$3:$C$62, 2, FALSE)</f>
        <v>500</v>
      </c>
      <c r="I352" s="10">
        <f>VLOOKUP(B352, Price_List!$A$3:$C$62, 3, FALSE)</f>
        <v>500</v>
      </c>
      <c r="J352" s="10" t="str">
        <f t="shared" si="21"/>
        <v>Within Range</v>
      </c>
      <c r="K352" s="10">
        <f t="shared" si="22"/>
        <v>0</v>
      </c>
    </row>
    <row r="353" spans="1:11" ht="15.6" x14ac:dyDescent="0.3">
      <c r="A353" s="9">
        <v>45699</v>
      </c>
      <c r="B353" s="3" t="s">
        <v>124</v>
      </c>
      <c r="C353" s="13">
        <v>500</v>
      </c>
      <c r="D353" s="3" t="s">
        <v>6</v>
      </c>
      <c r="E353" s="3" t="s">
        <v>60</v>
      </c>
      <c r="F353" s="10" t="str">
        <f t="shared" si="23"/>
        <v>Feb-2025</v>
      </c>
      <c r="G353" t="str">
        <f t="shared" si="20"/>
        <v>2025-02</v>
      </c>
      <c r="H353" s="10">
        <f>VLOOKUP(B353, Price_List!$A$3:$C$62, 2, FALSE)</f>
        <v>500</v>
      </c>
      <c r="I353" s="10">
        <f>VLOOKUP(B353, Price_List!$A$3:$C$62, 3, FALSE)</f>
        <v>500</v>
      </c>
      <c r="J353" s="10" t="str">
        <f t="shared" si="21"/>
        <v>Within Range</v>
      </c>
      <c r="K353" s="10">
        <f t="shared" si="22"/>
        <v>0</v>
      </c>
    </row>
    <row r="354" spans="1:11" ht="15.6" x14ac:dyDescent="0.3">
      <c r="A354" s="9">
        <v>45699</v>
      </c>
      <c r="B354" s="3" t="s">
        <v>125</v>
      </c>
      <c r="C354" s="13">
        <v>150</v>
      </c>
      <c r="D354" s="3" t="s">
        <v>6</v>
      </c>
      <c r="E354" s="3" t="s">
        <v>60</v>
      </c>
      <c r="F354" s="10" t="str">
        <f t="shared" si="23"/>
        <v>Feb-2025</v>
      </c>
      <c r="G354" t="str">
        <f t="shared" si="20"/>
        <v>2025-02</v>
      </c>
      <c r="H354" s="10">
        <f>VLOOKUP(B354, Price_List!$A$3:$C$62, 2, FALSE)</f>
        <v>100</v>
      </c>
      <c r="I354" s="10">
        <f>VLOOKUP(B354, Price_List!$A$3:$C$62, 3, FALSE)</f>
        <v>500</v>
      </c>
      <c r="J354" s="10" t="str">
        <f t="shared" si="21"/>
        <v>Within Range</v>
      </c>
      <c r="K354" s="10">
        <f t="shared" si="22"/>
        <v>0</v>
      </c>
    </row>
    <row r="355" spans="1:11" ht="15.6" x14ac:dyDescent="0.3">
      <c r="A355" s="9">
        <v>45699</v>
      </c>
      <c r="B355" s="3" t="s">
        <v>69</v>
      </c>
      <c r="C355" s="13">
        <v>350</v>
      </c>
      <c r="D355" s="3" t="s">
        <v>6</v>
      </c>
      <c r="E355" s="3" t="s">
        <v>60</v>
      </c>
      <c r="F355" s="10" t="str">
        <f t="shared" si="23"/>
        <v>Feb-2025</v>
      </c>
      <c r="G355" t="str">
        <f t="shared" si="20"/>
        <v>2025-02</v>
      </c>
      <c r="H355" s="10">
        <f>VLOOKUP(B355, Price_List!$A$3:$C$62, 2, FALSE)</f>
        <v>350</v>
      </c>
      <c r="I355" s="10">
        <f>VLOOKUP(B355, Price_List!$A$3:$C$62, 3, FALSE)</f>
        <v>350</v>
      </c>
      <c r="J355" s="10" t="str">
        <f t="shared" si="21"/>
        <v>Within Range</v>
      </c>
      <c r="K355" s="10">
        <f t="shared" si="22"/>
        <v>0</v>
      </c>
    </row>
    <row r="356" spans="1:11" ht="15.6" x14ac:dyDescent="0.3">
      <c r="A356" s="9">
        <v>45699</v>
      </c>
      <c r="B356" s="3" t="s">
        <v>125</v>
      </c>
      <c r="C356" s="13">
        <v>150</v>
      </c>
      <c r="D356" s="3" t="s">
        <v>6</v>
      </c>
      <c r="E356" s="3" t="s">
        <v>60</v>
      </c>
      <c r="F356" s="10" t="str">
        <f t="shared" si="23"/>
        <v>Feb-2025</v>
      </c>
      <c r="G356" t="str">
        <f t="shared" si="20"/>
        <v>2025-02</v>
      </c>
      <c r="H356" s="10">
        <f>VLOOKUP(B356, Price_List!$A$3:$C$62, 2, FALSE)</f>
        <v>100</v>
      </c>
      <c r="I356" s="10">
        <f>VLOOKUP(B356, Price_List!$A$3:$C$62, 3, FALSE)</f>
        <v>500</v>
      </c>
      <c r="J356" s="10" t="str">
        <f t="shared" si="21"/>
        <v>Within Range</v>
      </c>
      <c r="K356" s="10">
        <f t="shared" si="22"/>
        <v>0</v>
      </c>
    </row>
    <row r="357" spans="1:11" ht="15.6" x14ac:dyDescent="0.3">
      <c r="A357" s="9">
        <v>45699</v>
      </c>
      <c r="B357" s="3" t="s">
        <v>123</v>
      </c>
      <c r="C357" s="13">
        <v>200</v>
      </c>
      <c r="D357" s="3" t="s">
        <v>6</v>
      </c>
      <c r="E357" s="3" t="s">
        <v>60</v>
      </c>
      <c r="F357" s="10" t="str">
        <f t="shared" si="23"/>
        <v>Feb-2025</v>
      </c>
      <c r="G357" t="str">
        <f t="shared" si="20"/>
        <v>2025-02</v>
      </c>
      <c r="H357" s="10">
        <f>VLOOKUP(B357, Price_List!$A$3:$C$62, 2, FALSE)</f>
        <v>200</v>
      </c>
      <c r="I357" s="10">
        <f>VLOOKUP(B357, Price_List!$A$3:$C$62, 3, FALSE)</f>
        <v>500</v>
      </c>
      <c r="J357" s="10" t="str">
        <f t="shared" si="21"/>
        <v>Within Range</v>
      </c>
      <c r="K357" s="10">
        <f t="shared" si="22"/>
        <v>0</v>
      </c>
    </row>
    <row r="358" spans="1:11" ht="15.6" x14ac:dyDescent="0.3">
      <c r="A358" s="9">
        <v>45700</v>
      </c>
      <c r="B358" s="3" t="s">
        <v>5</v>
      </c>
      <c r="C358" s="13">
        <v>80</v>
      </c>
      <c r="D358" s="3" t="s">
        <v>6</v>
      </c>
      <c r="E358" s="3" t="s">
        <v>7</v>
      </c>
      <c r="F358" s="10" t="str">
        <f t="shared" si="23"/>
        <v>Feb-2025</v>
      </c>
      <c r="G358" t="str">
        <f t="shared" si="20"/>
        <v>2025-02</v>
      </c>
      <c r="H358" s="10">
        <f>VLOOKUP(B358, Price_List!$A$3:$C$62, 2, FALSE)</f>
        <v>60</v>
      </c>
      <c r="I358" s="10">
        <f>VLOOKUP(B358, Price_List!$A$3:$C$62, 3, FALSE)</f>
        <v>70</v>
      </c>
      <c r="J358" s="10" t="str">
        <f t="shared" si="21"/>
        <v>Above Max</v>
      </c>
      <c r="K358" s="10">
        <f t="shared" si="22"/>
        <v>0</v>
      </c>
    </row>
    <row r="359" spans="1:11" ht="15.6" x14ac:dyDescent="0.3">
      <c r="A359" s="9">
        <v>45701</v>
      </c>
      <c r="B359" s="3" t="s">
        <v>44</v>
      </c>
      <c r="C359" s="13">
        <v>400</v>
      </c>
      <c r="D359" s="3" t="s">
        <v>8</v>
      </c>
      <c r="E359" s="3" t="s">
        <v>7</v>
      </c>
      <c r="F359" s="10" t="str">
        <f t="shared" si="23"/>
        <v>Feb-2025</v>
      </c>
      <c r="G359" t="str">
        <f t="shared" si="20"/>
        <v>2025-02</v>
      </c>
      <c r="H359" s="10">
        <f>VLOOKUP(B359, Price_List!$A$3:$C$62, 2, FALSE)</f>
        <v>300</v>
      </c>
      <c r="I359" s="10">
        <f>VLOOKUP(B359, Price_List!$A$3:$C$62, 3, FALSE)</f>
        <v>500</v>
      </c>
      <c r="J359" s="10" t="str">
        <f t="shared" si="21"/>
        <v>Within Range</v>
      </c>
      <c r="K359" s="10">
        <f t="shared" si="22"/>
        <v>0</v>
      </c>
    </row>
    <row r="360" spans="1:11" ht="15.6" x14ac:dyDescent="0.3">
      <c r="A360" s="9">
        <v>45699</v>
      </c>
      <c r="B360" s="3" t="s">
        <v>123</v>
      </c>
      <c r="C360" s="13">
        <v>200</v>
      </c>
      <c r="D360" s="3" t="s">
        <v>6</v>
      </c>
      <c r="E360" s="3" t="s">
        <v>60</v>
      </c>
      <c r="F360" s="10" t="str">
        <f t="shared" si="23"/>
        <v>Feb-2025</v>
      </c>
      <c r="G360" t="str">
        <f t="shared" si="20"/>
        <v>2025-02</v>
      </c>
      <c r="H360" s="10">
        <f>VLOOKUP(B360, Price_List!$A$3:$C$62, 2, FALSE)</f>
        <v>200</v>
      </c>
      <c r="I360" s="10">
        <f>VLOOKUP(B360, Price_List!$A$3:$C$62, 3, FALSE)</f>
        <v>500</v>
      </c>
      <c r="J360" s="10" t="str">
        <f t="shared" si="21"/>
        <v>Within Range</v>
      </c>
      <c r="K360" s="10">
        <f t="shared" si="22"/>
        <v>0</v>
      </c>
    </row>
    <row r="361" spans="1:11" ht="15.6" x14ac:dyDescent="0.3">
      <c r="A361" s="9">
        <v>45703</v>
      </c>
      <c r="B361" s="3" t="s">
        <v>29</v>
      </c>
      <c r="C361" s="13">
        <v>400</v>
      </c>
      <c r="D361" s="3" t="s">
        <v>8</v>
      </c>
      <c r="E361" s="3" t="s">
        <v>7</v>
      </c>
      <c r="F361" s="10" t="str">
        <f t="shared" si="23"/>
        <v>Feb-2025</v>
      </c>
      <c r="G361" t="str">
        <f t="shared" si="20"/>
        <v>2025-02</v>
      </c>
      <c r="H361" s="10">
        <f>VLOOKUP(B361, Price_List!$A$3:$C$62, 2, FALSE)</f>
        <v>400</v>
      </c>
      <c r="I361" s="10">
        <f>VLOOKUP(B361, Price_List!$A$3:$C$62, 3, FALSE)</f>
        <v>400</v>
      </c>
      <c r="J361" s="10" t="str">
        <f t="shared" si="21"/>
        <v>Within Range</v>
      </c>
      <c r="K361" s="10">
        <f t="shared" si="22"/>
        <v>0</v>
      </c>
    </row>
    <row r="362" spans="1:11" ht="15.6" x14ac:dyDescent="0.3">
      <c r="A362" s="9">
        <v>45703</v>
      </c>
      <c r="B362" s="3" t="s">
        <v>56</v>
      </c>
      <c r="C362" s="13">
        <v>500</v>
      </c>
      <c r="D362" s="3" t="s">
        <v>8</v>
      </c>
      <c r="E362" s="3" t="s">
        <v>7</v>
      </c>
      <c r="F362" s="10" t="str">
        <f t="shared" si="23"/>
        <v>Feb-2025</v>
      </c>
      <c r="G362" t="str">
        <f t="shared" si="20"/>
        <v>2025-02</v>
      </c>
      <c r="H362" s="10">
        <f>VLOOKUP(B362, Price_List!$A$3:$C$62, 2, FALSE)</f>
        <v>1000</v>
      </c>
      <c r="I362" s="10">
        <f>VLOOKUP(B362, Price_List!$A$3:$C$62, 3, FALSE)</f>
        <v>1000</v>
      </c>
      <c r="J362" s="10" t="str">
        <f t="shared" si="21"/>
        <v>Below Min(Bargain)</v>
      </c>
      <c r="K362" s="10">
        <f t="shared" si="22"/>
        <v>500</v>
      </c>
    </row>
    <row r="363" spans="1:11" ht="15.6" x14ac:dyDescent="0.3">
      <c r="A363" s="9">
        <v>45703</v>
      </c>
      <c r="B363" s="3" t="s">
        <v>5</v>
      </c>
      <c r="C363" s="13">
        <v>60</v>
      </c>
      <c r="D363" s="3" t="s">
        <v>8</v>
      </c>
      <c r="E363" s="3" t="s">
        <v>7</v>
      </c>
      <c r="F363" s="10" t="str">
        <f t="shared" si="23"/>
        <v>Feb-2025</v>
      </c>
      <c r="G363" t="str">
        <f t="shared" si="20"/>
        <v>2025-02</v>
      </c>
      <c r="H363" s="10">
        <f>VLOOKUP(B363, Price_List!$A$3:$C$62, 2, FALSE)</f>
        <v>60</v>
      </c>
      <c r="I363" s="10">
        <f>VLOOKUP(B363, Price_List!$A$3:$C$62, 3, FALSE)</f>
        <v>70</v>
      </c>
      <c r="J363" s="10" t="str">
        <f t="shared" si="21"/>
        <v>Within Range</v>
      </c>
      <c r="K363" s="10">
        <f t="shared" si="22"/>
        <v>0</v>
      </c>
    </row>
    <row r="364" spans="1:11" ht="15.6" x14ac:dyDescent="0.3">
      <c r="A364" s="9">
        <v>45699</v>
      </c>
      <c r="B364" s="3" t="s">
        <v>123</v>
      </c>
      <c r="C364" s="13">
        <v>200</v>
      </c>
      <c r="D364" s="3" t="s">
        <v>6</v>
      </c>
      <c r="E364" s="3" t="s">
        <v>60</v>
      </c>
      <c r="F364" s="10" t="str">
        <f t="shared" si="23"/>
        <v>Feb-2025</v>
      </c>
      <c r="G364" t="str">
        <f t="shared" si="20"/>
        <v>2025-02</v>
      </c>
      <c r="H364" s="10">
        <f>VLOOKUP(B364, Price_List!$A$3:$C$62, 2, FALSE)</f>
        <v>200</v>
      </c>
      <c r="I364" s="10">
        <f>VLOOKUP(B364, Price_List!$A$3:$C$62, 3, FALSE)</f>
        <v>500</v>
      </c>
      <c r="J364" s="10" t="str">
        <f t="shared" si="21"/>
        <v>Within Range</v>
      </c>
      <c r="K364" s="10">
        <f t="shared" si="22"/>
        <v>0</v>
      </c>
    </row>
    <row r="365" spans="1:11" ht="15.6" x14ac:dyDescent="0.3">
      <c r="A365" s="9">
        <v>45701</v>
      </c>
      <c r="B365" s="3" t="s">
        <v>126</v>
      </c>
      <c r="C365" s="13">
        <v>80</v>
      </c>
      <c r="D365" s="3" t="s">
        <v>6</v>
      </c>
      <c r="E365" s="3" t="s">
        <v>60</v>
      </c>
      <c r="F365" s="10" t="str">
        <f t="shared" si="23"/>
        <v>Feb-2025</v>
      </c>
      <c r="G365" t="str">
        <f t="shared" si="20"/>
        <v>2025-02</v>
      </c>
      <c r="H365" s="10">
        <f>VLOOKUP(B365, Price_List!$A$3:$C$62, 2, FALSE)</f>
        <v>30</v>
      </c>
      <c r="I365" s="10">
        <f>VLOOKUP(B365, Price_List!$A$3:$C$62, 3, FALSE)</f>
        <v>40</v>
      </c>
      <c r="J365" s="10" t="str">
        <f t="shared" si="21"/>
        <v>Above Max</v>
      </c>
      <c r="K365" s="10">
        <f t="shared" si="22"/>
        <v>0</v>
      </c>
    </row>
    <row r="366" spans="1:11" ht="15.6" x14ac:dyDescent="0.3">
      <c r="A366" s="9">
        <v>45703</v>
      </c>
      <c r="B366" s="3" t="s">
        <v>59</v>
      </c>
      <c r="C366" s="13">
        <v>80</v>
      </c>
      <c r="D366" s="3" t="s">
        <v>6</v>
      </c>
      <c r="E366" s="3" t="s">
        <v>60</v>
      </c>
      <c r="F366" s="10" t="str">
        <f t="shared" si="23"/>
        <v>Feb-2025</v>
      </c>
      <c r="G366" t="str">
        <f t="shared" si="20"/>
        <v>2025-02</v>
      </c>
      <c r="H366" s="10">
        <f>VLOOKUP(B366, Price_List!$A$3:$C$62, 2, FALSE)</f>
        <v>50</v>
      </c>
      <c r="I366" s="10">
        <f>VLOOKUP(B366, Price_List!$A$3:$C$62, 3, FALSE)</f>
        <v>150</v>
      </c>
      <c r="J366" s="10" t="str">
        <f t="shared" si="21"/>
        <v>Within Range</v>
      </c>
      <c r="K366" s="10">
        <f t="shared" si="22"/>
        <v>0</v>
      </c>
    </row>
    <row r="367" spans="1:11" ht="15.6" x14ac:dyDescent="0.3">
      <c r="A367" s="9">
        <v>45706</v>
      </c>
      <c r="B367" s="3" t="s">
        <v>22</v>
      </c>
      <c r="C367" s="13">
        <v>200</v>
      </c>
      <c r="D367" s="3" t="s">
        <v>8</v>
      </c>
      <c r="E367" s="3" t="s">
        <v>7</v>
      </c>
      <c r="F367" s="10" t="str">
        <f t="shared" si="23"/>
        <v>Feb-2025</v>
      </c>
      <c r="G367" t="str">
        <f t="shared" si="20"/>
        <v>2025-02</v>
      </c>
      <c r="H367" s="10">
        <f>VLOOKUP(B367, Price_List!$A$3:$C$62, 2, FALSE)</f>
        <v>250</v>
      </c>
      <c r="I367" s="10">
        <f>VLOOKUP(B367, Price_List!$A$3:$C$62, 3, FALSE)</f>
        <v>250</v>
      </c>
      <c r="J367" s="10" t="str">
        <f t="shared" si="21"/>
        <v>Below Min(Bargain)</v>
      </c>
      <c r="K367" s="10">
        <f t="shared" si="22"/>
        <v>50</v>
      </c>
    </row>
    <row r="368" spans="1:11" ht="15.6" x14ac:dyDescent="0.3">
      <c r="A368" s="9">
        <v>45707</v>
      </c>
      <c r="B368" s="3" t="s">
        <v>5</v>
      </c>
      <c r="C368" s="13">
        <v>60</v>
      </c>
      <c r="D368" s="3" t="s">
        <v>8</v>
      </c>
      <c r="E368" s="3" t="s">
        <v>7</v>
      </c>
      <c r="F368" s="10" t="str">
        <f t="shared" si="23"/>
        <v>Feb-2025</v>
      </c>
      <c r="G368" t="str">
        <f t="shared" si="20"/>
        <v>2025-02</v>
      </c>
      <c r="H368" s="10">
        <f>VLOOKUP(B368, Price_List!$A$3:$C$62, 2, FALSE)</f>
        <v>60</v>
      </c>
      <c r="I368" s="10">
        <f>VLOOKUP(B368, Price_List!$A$3:$C$62, 3, FALSE)</f>
        <v>70</v>
      </c>
      <c r="J368" s="10" t="str">
        <f t="shared" si="21"/>
        <v>Within Range</v>
      </c>
      <c r="K368" s="10">
        <f t="shared" si="22"/>
        <v>0</v>
      </c>
    </row>
    <row r="369" spans="1:11" ht="15.6" x14ac:dyDescent="0.3">
      <c r="A369" s="9">
        <v>45707</v>
      </c>
      <c r="B369" s="3" t="s">
        <v>14</v>
      </c>
      <c r="C369" s="13">
        <v>700</v>
      </c>
      <c r="D369" s="3" t="s">
        <v>8</v>
      </c>
      <c r="E369" s="3" t="s">
        <v>7</v>
      </c>
      <c r="F369" s="10" t="str">
        <f t="shared" si="23"/>
        <v>Feb-2025</v>
      </c>
      <c r="G369" t="str">
        <f t="shared" si="20"/>
        <v>2025-02</v>
      </c>
      <c r="H369" s="10">
        <f>VLOOKUP(B369, Price_List!$A$3:$C$62, 2, FALSE)</f>
        <v>800</v>
      </c>
      <c r="I369" s="10">
        <f>VLOOKUP(B369, Price_List!$A$3:$C$62, 3, FALSE)</f>
        <v>1000</v>
      </c>
      <c r="J369" s="10" t="str">
        <f t="shared" si="21"/>
        <v>Below Min(Bargain)</v>
      </c>
      <c r="K369" s="10">
        <f t="shared" si="22"/>
        <v>100</v>
      </c>
    </row>
    <row r="370" spans="1:11" ht="15.6" x14ac:dyDescent="0.3">
      <c r="A370" s="9">
        <v>45707</v>
      </c>
      <c r="B370" s="15" t="s">
        <v>104</v>
      </c>
      <c r="C370" s="13">
        <v>500</v>
      </c>
      <c r="D370" s="3" t="s">
        <v>8</v>
      </c>
      <c r="E370" s="3" t="s">
        <v>7</v>
      </c>
      <c r="F370" s="10" t="str">
        <f t="shared" si="23"/>
        <v>Feb-2025</v>
      </c>
      <c r="G370" t="str">
        <f t="shared" si="20"/>
        <v>2025-02</v>
      </c>
      <c r="H370" s="10">
        <f>VLOOKUP(B370, Price_List!$A$3:$C$62, 2, FALSE)</f>
        <v>500</v>
      </c>
      <c r="I370" s="10">
        <f>VLOOKUP(B370, Price_List!$A$3:$C$62, 3, FALSE)</f>
        <v>500</v>
      </c>
      <c r="J370" s="10" t="str">
        <f t="shared" si="21"/>
        <v>Within Range</v>
      </c>
      <c r="K370" s="10">
        <f t="shared" si="22"/>
        <v>0</v>
      </c>
    </row>
    <row r="371" spans="1:11" ht="15.6" x14ac:dyDescent="0.3">
      <c r="A371" s="9">
        <v>45703</v>
      </c>
      <c r="B371" s="3" t="s">
        <v>125</v>
      </c>
      <c r="C371" s="13">
        <v>100</v>
      </c>
      <c r="D371" s="3" t="s">
        <v>6</v>
      </c>
      <c r="E371" s="3" t="s">
        <v>60</v>
      </c>
      <c r="F371" s="10" t="str">
        <f t="shared" si="23"/>
        <v>Feb-2025</v>
      </c>
      <c r="G371" t="str">
        <f t="shared" si="20"/>
        <v>2025-02</v>
      </c>
      <c r="H371" s="10">
        <f>VLOOKUP(B371, Price_List!$A$3:$C$62, 2, FALSE)</f>
        <v>100</v>
      </c>
      <c r="I371" s="10">
        <f>VLOOKUP(B371, Price_List!$A$3:$C$62, 3, FALSE)</f>
        <v>500</v>
      </c>
      <c r="J371" s="10" t="str">
        <f t="shared" si="21"/>
        <v>Within Range</v>
      </c>
      <c r="K371" s="10">
        <f t="shared" si="22"/>
        <v>0</v>
      </c>
    </row>
    <row r="372" spans="1:11" ht="15.6" x14ac:dyDescent="0.3">
      <c r="A372" s="9">
        <v>45703</v>
      </c>
      <c r="B372" s="3" t="s">
        <v>122</v>
      </c>
      <c r="C372" s="13">
        <v>3000</v>
      </c>
      <c r="D372" s="3" t="s">
        <v>6</v>
      </c>
      <c r="E372" s="3" t="s">
        <v>60</v>
      </c>
      <c r="F372" s="10" t="str">
        <f t="shared" si="23"/>
        <v>Feb-2025</v>
      </c>
      <c r="G372" t="str">
        <f t="shared" si="20"/>
        <v>2025-02</v>
      </c>
      <c r="H372" s="10">
        <f>VLOOKUP(B372, Price_List!$A$3:$C$62, 2, FALSE)</f>
        <v>1000</v>
      </c>
      <c r="I372" s="10">
        <f>VLOOKUP(B372, Price_List!$A$3:$C$62, 3, FALSE)</f>
        <v>6000</v>
      </c>
      <c r="J372" s="10" t="str">
        <f t="shared" si="21"/>
        <v>Within Range</v>
      </c>
      <c r="K372" s="10">
        <f t="shared" si="22"/>
        <v>0</v>
      </c>
    </row>
    <row r="373" spans="1:11" ht="15.6" x14ac:dyDescent="0.3">
      <c r="A373" s="9">
        <v>45708</v>
      </c>
      <c r="B373" s="3" t="s">
        <v>122</v>
      </c>
      <c r="C373" s="13">
        <v>2000</v>
      </c>
      <c r="D373" s="3" t="s">
        <v>6</v>
      </c>
      <c r="E373" s="3" t="s">
        <v>60</v>
      </c>
      <c r="F373" s="10" t="str">
        <f t="shared" si="23"/>
        <v>Feb-2025</v>
      </c>
      <c r="G373" t="str">
        <f t="shared" si="20"/>
        <v>2025-02</v>
      </c>
      <c r="H373" s="10">
        <f>VLOOKUP(B373, Price_List!$A$3:$C$62, 2, FALSE)</f>
        <v>1000</v>
      </c>
      <c r="I373" s="10">
        <f>VLOOKUP(B373, Price_List!$A$3:$C$62, 3, FALSE)</f>
        <v>6000</v>
      </c>
      <c r="J373" s="10" t="str">
        <f t="shared" si="21"/>
        <v>Within Range</v>
      </c>
      <c r="K373" s="10">
        <f t="shared" si="22"/>
        <v>0</v>
      </c>
    </row>
    <row r="374" spans="1:11" ht="15.6" x14ac:dyDescent="0.3">
      <c r="A374" s="9">
        <v>45709</v>
      </c>
      <c r="B374" s="3" t="s">
        <v>36</v>
      </c>
      <c r="C374" s="13">
        <v>120</v>
      </c>
      <c r="D374" s="3" t="s">
        <v>8</v>
      </c>
      <c r="E374" s="3" t="s">
        <v>7</v>
      </c>
      <c r="F374" s="10" t="str">
        <f t="shared" si="23"/>
        <v>Feb-2025</v>
      </c>
      <c r="G374" t="str">
        <f t="shared" si="20"/>
        <v>2025-02</v>
      </c>
      <c r="H374" s="10">
        <f>VLOOKUP(B374, Price_List!$A$3:$C$62, 2, FALSE)</f>
        <v>70</v>
      </c>
      <c r="I374" s="10">
        <f>VLOOKUP(B374, Price_List!$A$3:$C$62, 3, FALSE)</f>
        <v>140</v>
      </c>
      <c r="J374" s="10" t="str">
        <f t="shared" si="21"/>
        <v>Within Range</v>
      </c>
      <c r="K374" s="10">
        <f t="shared" si="22"/>
        <v>0</v>
      </c>
    </row>
    <row r="375" spans="1:11" ht="15.6" x14ac:dyDescent="0.3">
      <c r="A375" s="9">
        <v>45709</v>
      </c>
      <c r="B375" s="3" t="s">
        <v>5</v>
      </c>
      <c r="C375" s="13">
        <v>80</v>
      </c>
      <c r="D375" s="3" t="s">
        <v>8</v>
      </c>
      <c r="E375" s="3" t="s">
        <v>7</v>
      </c>
      <c r="F375" s="10" t="str">
        <f t="shared" si="23"/>
        <v>Feb-2025</v>
      </c>
      <c r="G375" t="str">
        <f t="shared" si="20"/>
        <v>2025-02</v>
      </c>
      <c r="H375" s="10">
        <f>VLOOKUP(B375, Price_List!$A$3:$C$62, 2, FALSE)</f>
        <v>60</v>
      </c>
      <c r="I375" s="10">
        <f>VLOOKUP(B375, Price_List!$A$3:$C$62, 3, FALSE)</f>
        <v>70</v>
      </c>
      <c r="J375" s="10" t="str">
        <f t="shared" si="21"/>
        <v>Above Max</v>
      </c>
      <c r="K375" s="10">
        <f t="shared" si="22"/>
        <v>0</v>
      </c>
    </row>
    <row r="376" spans="1:11" ht="15.6" x14ac:dyDescent="0.3">
      <c r="A376" s="9">
        <v>45709</v>
      </c>
      <c r="B376" s="15" t="s">
        <v>115</v>
      </c>
      <c r="C376" s="13">
        <v>850</v>
      </c>
      <c r="D376" s="3" t="s">
        <v>8</v>
      </c>
      <c r="E376" s="3" t="s">
        <v>7</v>
      </c>
      <c r="F376" s="10" t="str">
        <f t="shared" si="23"/>
        <v>Feb-2025</v>
      </c>
      <c r="G376" t="str">
        <f t="shared" si="20"/>
        <v>2025-02</v>
      </c>
      <c r="H376" s="10">
        <f>VLOOKUP(B376, Price_List!$A$3:$C$62, 2, FALSE)</f>
        <v>850</v>
      </c>
      <c r="I376" s="10">
        <f>VLOOKUP(B376, Price_List!$A$3:$C$62, 3, FALSE)</f>
        <v>850</v>
      </c>
      <c r="J376" s="10" t="str">
        <f t="shared" si="21"/>
        <v>Within Range</v>
      </c>
      <c r="K376" s="10">
        <f t="shared" si="22"/>
        <v>0</v>
      </c>
    </row>
    <row r="377" spans="1:11" ht="15.6" x14ac:dyDescent="0.3">
      <c r="A377" s="9">
        <v>45709</v>
      </c>
      <c r="B377" s="3" t="s">
        <v>5</v>
      </c>
      <c r="C377" s="13">
        <v>70</v>
      </c>
      <c r="D377" s="3" t="s">
        <v>8</v>
      </c>
      <c r="E377" s="3" t="s">
        <v>7</v>
      </c>
      <c r="F377" s="10" t="str">
        <f t="shared" si="23"/>
        <v>Feb-2025</v>
      </c>
      <c r="G377" t="str">
        <f t="shared" si="20"/>
        <v>2025-02</v>
      </c>
      <c r="H377" s="10">
        <f>VLOOKUP(B377, Price_List!$A$3:$C$62, 2, FALSE)</f>
        <v>60</v>
      </c>
      <c r="I377" s="10">
        <f>VLOOKUP(B377, Price_List!$A$3:$C$62, 3, FALSE)</f>
        <v>70</v>
      </c>
      <c r="J377" s="10" t="str">
        <f t="shared" si="21"/>
        <v>Within Range</v>
      </c>
      <c r="K377" s="10">
        <f t="shared" si="22"/>
        <v>0</v>
      </c>
    </row>
    <row r="378" spans="1:11" ht="15.6" x14ac:dyDescent="0.3">
      <c r="A378" s="9">
        <v>45710</v>
      </c>
      <c r="B378" s="3" t="s">
        <v>5</v>
      </c>
      <c r="C378" s="13">
        <v>60</v>
      </c>
      <c r="D378" s="3" t="s">
        <v>6</v>
      </c>
      <c r="E378" s="3" t="s">
        <v>7</v>
      </c>
      <c r="F378" s="10" t="str">
        <f t="shared" si="23"/>
        <v>Feb-2025</v>
      </c>
      <c r="G378" t="str">
        <f t="shared" si="20"/>
        <v>2025-02</v>
      </c>
      <c r="H378" s="10">
        <f>VLOOKUP(B378, Price_List!$A$3:$C$62, 2, FALSE)</f>
        <v>60</v>
      </c>
      <c r="I378" s="10">
        <f>VLOOKUP(B378, Price_List!$A$3:$C$62, 3, FALSE)</f>
        <v>70</v>
      </c>
      <c r="J378" s="10" t="str">
        <f t="shared" si="21"/>
        <v>Within Range</v>
      </c>
      <c r="K378" s="10">
        <f t="shared" si="22"/>
        <v>0</v>
      </c>
    </row>
    <row r="379" spans="1:11" ht="15.6" x14ac:dyDescent="0.3">
      <c r="A379" s="9">
        <v>45710</v>
      </c>
      <c r="B379" s="3" t="s">
        <v>5</v>
      </c>
      <c r="C379" s="13">
        <v>60</v>
      </c>
      <c r="D379" s="3" t="s">
        <v>8</v>
      </c>
      <c r="E379" s="3" t="s">
        <v>7</v>
      </c>
      <c r="F379" s="10" t="str">
        <f t="shared" si="23"/>
        <v>Feb-2025</v>
      </c>
      <c r="G379" t="str">
        <f t="shared" si="20"/>
        <v>2025-02</v>
      </c>
      <c r="H379" s="10">
        <f>VLOOKUP(B379, Price_List!$A$3:$C$62, 2, FALSE)</f>
        <v>60</v>
      </c>
      <c r="I379" s="10">
        <f>VLOOKUP(B379, Price_List!$A$3:$C$62, 3, FALSE)</f>
        <v>70</v>
      </c>
      <c r="J379" s="10" t="str">
        <f t="shared" si="21"/>
        <v>Within Range</v>
      </c>
      <c r="K379" s="10">
        <f t="shared" si="22"/>
        <v>0</v>
      </c>
    </row>
    <row r="380" spans="1:11" ht="15.6" x14ac:dyDescent="0.3">
      <c r="A380" s="9">
        <v>45712</v>
      </c>
      <c r="B380" s="3" t="s">
        <v>36</v>
      </c>
      <c r="C380" s="13">
        <v>220</v>
      </c>
      <c r="D380" s="3" t="s">
        <v>8</v>
      </c>
      <c r="E380" s="3" t="s">
        <v>7</v>
      </c>
      <c r="F380" s="10" t="str">
        <f t="shared" si="23"/>
        <v>Feb-2025</v>
      </c>
      <c r="G380" t="str">
        <f t="shared" si="20"/>
        <v>2025-02</v>
      </c>
      <c r="H380" s="10">
        <f>VLOOKUP(B380, Price_List!$A$3:$C$62, 2, FALSE)</f>
        <v>70</v>
      </c>
      <c r="I380" s="10">
        <f>VLOOKUP(B380, Price_List!$A$3:$C$62, 3, FALSE)</f>
        <v>140</v>
      </c>
      <c r="J380" s="10" t="str">
        <f t="shared" si="21"/>
        <v>Above Max</v>
      </c>
      <c r="K380" s="10">
        <f t="shared" si="22"/>
        <v>0</v>
      </c>
    </row>
    <row r="381" spans="1:11" ht="15.6" x14ac:dyDescent="0.3">
      <c r="A381" s="9">
        <v>45713</v>
      </c>
      <c r="B381" s="3" t="s">
        <v>14</v>
      </c>
      <c r="C381" s="13">
        <v>700</v>
      </c>
      <c r="D381" s="3" t="s">
        <v>8</v>
      </c>
      <c r="E381" s="3" t="s">
        <v>7</v>
      </c>
      <c r="F381" s="10" t="str">
        <f t="shared" si="23"/>
        <v>Feb-2025</v>
      </c>
      <c r="G381" t="str">
        <f t="shared" si="20"/>
        <v>2025-02</v>
      </c>
      <c r="H381" s="10">
        <f>VLOOKUP(B381, Price_List!$A$3:$C$62, 2, FALSE)</f>
        <v>800</v>
      </c>
      <c r="I381" s="10">
        <f>VLOOKUP(B381, Price_List!$A$3:$C$62, 3, FALSE)</f>
        <v>1000</v>
      </c>
      <c r="J381" s="10" t="str">
        <f t="shared" si="21"/>
        <v>Below Min(Bargain)</v>
      </c>
      <c r="K381" s="10">
        <f t="shared" si="22"/>
        <v>100</v>
      </c>
    </row>
    <row r="382" spans="1:11" ht="15.6" x14ac:dyDescent="0.3">
      <c r="A382" s="9">
        <v>45714</v>
      </c>
      <c r="B382" s="15" t="s">
        <v>104</v>
      </c>
      <c r="C382" s="13">
        <v>500</v>
      </c>
      <c r="D382" s="3" t="s">
        <v>8</v>
      </c>
      <c r="E382" s="3" t="s">
        <v>7</v>
      </c>
      <c r="F382" s="10" t="str">
        <f t="shared" si="23"/>
        <v>Feb-2025</v>
      </c>
      <c r="G382" t="str">
        <f t="shared" si="20"/>
        <v>2025-02</v>
      </c>
      <c r="H382" s="10">
        <f>VLOOKUP(B382, Price_List!$A$3:$C$62, 2, FALSE)</f>
        <v>500</v>
      </c>
      <c r="I382" s="10">
        <f>VLOOKUP(B382, Price_List!$A$3:$C$62, 3, FALSE)</f>
        <v>500</v>
      </c>
      <c r="J382" s="10" t="str">
        <f t="shared" si="21"/>
        <v>Within Range</v>
      </c>
      <c r="K382" s="10">
        <f t="shared" si="22"/>
        <v>0</v>
      </c>
    </row>
    <row r="383" spans="1:11" ht="15.6" x14ac:dyDescent="0.3">
      <c r="A383" s="9">
        <v>45714</v>
      </c>
      <c r="B383" s="3" t="s">
        <v>5</v>
      </c>
      <c r="C383" s="13">
        <v>50</v>
      </c>
      <c r="D383" s="3" t="s">
        <v>8</v>
      </c>
      <c r="E383" s="3" t="s">
        <v>7</v>
      </c>
      <c r="F383" s="10" t="str">
        <f t="shared" si="23"/>
        <v>Feb-2025</v>
      </c>
      <c r="G383" t="str">
        <f t="shared" si="20"/>
        <v>2025-02</v>
      </c>
      <c r="H383" s="10">
        <f>VLOOKUP(B383, Price_List!$A$3:$C$62, 2, FALSE)</f>
        <v>60</v>
      </c>
      <c r="I383" s="10">
        <f>VLOOKUP(B383, Price_List!$A$3:$C$62, 3, FALSE)</f>
        <v>70</v>
      </c>
      <c r="J383" s="10" t="str">
        <f t="shared" si="21"/>
        <v>Below Min(Bargain)</v>
      </c>
      <c r="K383" s="10">
        <f t="shared" si="22"/>
        <v>10</v>
      </c>
    </row>
    <row r="384" spans="1:11" ht="15.6" x14ac:dyDescent="0.3">
      <c r="A384" s="9">
        <v>45716</v>
      </c>
      <c r="B384" s="3" t="s">
        <v>14</v>
      </c>
      <c r="C384" s="13">
        <v>900</v>
      </c>
      <c r="D384" s="3" t="s">
        <v>8</v>
      </c>
      <c r="E384" s="3" t="s">
        <v>7</v>
      </c>
      <c r="F384" s="10" t="str">
        <f t="shared" si="23"/>
        <v>Feb-2025</v>
      </c>
      <c r="G384" t="str">
        <f t="shared" si="20"/>
        <v>2025-02</v>
      </c>
      <c r="H384" s="10">
        <f>VLOOKUP(B384, Price_List!$A$3:$C$62, 2, FALSE)</f>
        <v>800</v>
      </c>
      <c r="I384" s="10">
        <f>VLOOKUP(B384, Price_List!$A$3:$C$62, 3, FALSE)</f>
        <v>1000</v>
      </c>
      <c r="J384" s="10" t="str">
        <f t="shared" si="21"/>
        <v>Within Range</v>
      </c>
      <c r="K384" s="10">
        <f t="shared" si="22"/>
        <v>0</v>
      </c>
    </row>
    <row r="385" spans="1:11" ht="15.6" x14ac:dyDescent="0.3">
      <c r="A385" s="9">
        <v>45717</v>
      </c>
      <c r="B385" s="3" t="s">
        <v>111</v>
      </c>
      <c r="C385" s="13">
        <v>200</v>
      </c>
      <c r="D385" s="3" t="s">
        <v>8</v>
      </c>
      <c r="E385" s="3" t="s">
        <v>7</v>
      </c>
      <c r="F385" s="10" t="str">
        <f t="shared" si="23"/>
        <v>Mar-2025</v>
      </c>
      <c r="G385" t="str">
        <f t="shared" si="20"/>
        <v>2025-03</v>
      </c>
      <c r="H385" s="10">
        <f>VLOOKUP(B385, Price_List!$A$3:$C$62, 2, FALSE)</f>
        <v>150</v>
      </c>
      <c r="I385" s="10">
        <f>VLOOKUP(B385, Price_List!$A$3:$C$62, 3, FALSE)</f>
        <v>200</v>
      </c>
      <c r="J385" s="10" t="str">
        <f t="shared" si="21"/>
        <v>Within Range</v>
      </c>
      <c r="K385" s="10">
        <f t="shared" si="22"/>
        <v>0</v>
      </c>
    </row>
    <row r="386" spans="1:11" ht="15.6" x14ac:dyDescent="0.3">
      <c r="A386" s="9">
        <v>45717</v>
      </c>
      <c r="B386" s="3" t="s">
        <v>5</v>
      </c>
      <c r="C386" s="13">
        <v>60</v>
      </c>
      <c r="D386" s="3" t="s">
        <v>6</v>
      </c>
      <c r="E386" s="3" t="s">
        <v>7</v>
      </c>
      <c r="F386" s="10" t="str">
        <f t="shared" si="23"/>
        <v>Mar-2025</v>
      </c>
      <c r="G386" t="str">
        <f t="shared" si="20"/>
        <v>2025-03</v>
      </c>
      <c r="H386" s="10">
        <f>VLOOKUP(B386, Price_List!$A$3:$C$62, 2, FALSE)</f>
        <v>60</v>
      </c>
      <c r="I386" s="10">
        <f>VLOOKUP(B386, Price_List!$A$3:$C$62, 3, FALSE)</f>
        <v>70</v>
      </c>
      <c r="J386" s="10" t="str">
        <f t="shared" si="21"/>
        <v>Within Range</v>
      </c>
      <c r="K386" s="10">
        <f t="shared" si="22"/>
        <v>0</v>
      </c>
    </row>
    <row r="387" spans="1:11" ht="15.6" x14ac:dyDescent="0.3">
      <c r="A387" s="9">
        <v>45719</v>
      </c>
      <c r="B387" s="3" t="s">
        <v>5</v>
      </c>
      <c r="C387" s="13">
        <v>60</v>
      </c>
      <c r="D387" s="3" t="s">
        <v>8</v>
      </c>
      <c r="E387" s="3" t="s">
        <v>7</v>
      </c>
      <c r="F387" s="10" t="str">
        <f t="shared" si="23"/>
        <v>Mar-2025</v>
      </c>
      <c r="G387" t="str">
        <f t="shared" ref="G387:G450" si="24">TEXT(A387,"yyyy-mm")</f>
        <v>2025-03</v>
      </c>
      <c r="H387" s="10">
        <f>VLOOKUP(B387, Price_List!$A$3:$C$62, 2, FALSE)</f>
        <v>60</v>
      </c>
      <c r="I387" s="10">
        <f>VLOOKUP(B387, Price_List!$A$3:$C$62, 3, FALSE)</f>
        <v>70</v>
      </c>
      <c r="J387" s="10" t="str">
        <f t="shared" ref="J387:J450" si="25">IF(C387 &lt; H387, "Below Min(Bargain)", IF(C387 &gt; I387, "Above Max", "Within Range"))</f>
        <v>Within Range</v>
      </c>
      <c r="K387" s="10">
        <f t="shared" ref="K387:K450" si="26">IF(C387 &lt; H387, H387 - C387, 0)</f>
        <v>0</v>
      </c>
    </row>
    <row r="388" spans="1:11" ht="15.6" x14ac:dyDescent="0.3">
      <c r="A388" s="9">
        <v>45719</v>
      </c>
      <c r="B388" s="3" t="s">
        <v>14</v>
      </c>
      <c r="C388" s="13">
        <v>2400</v>
      </c>
      <c r="D388" s="3" t="s">
        <v>8</v>
      </c>
      <c r="E388" s="3" t="s">
        <v>7</v>
      </c>
      <c r="F388" s="10" t="str">
        <f t="shared" ref="F388:F451" si="27">TEXT(A388, "mmm-yyyy")</f>
        <v>Mar-2025</v>
      </c>
      <c r="G388" t="str">
        <f t="shared" si="24"/>
        <v>2025-03</v>
      </c>
      <c r="H388" s="10">
        <f>VLOOKUP(B388, Price_List!$A$3:$C$62, 2, FALSE)</f>
        <v>800</v>
      </c>
      <c r="I388" s="10">
        <f>VLOOKUP(B388, Price_List!$A$3:$C$62, 3, FALSE)</f>
        <v>1000</v>
      </c>
      <c r="J388" s="10" t="str">
        <f t="shared" si="25"/>
        <v>Above Max</v>
      </c>
      <c r="K388" s="10">
        <f t="shared" si="26"/>
        <v>0</v>
      </c>
    </row>
    <row r="389" spans="1:11" ht="15.6" x14ac:dyDescent="0.3">
      <c r="A389" s="9">
        <v>45719</v>
      </c>
      <c r="B389" s="3" t="s">
        <v>12</v>
      </c>
      <c r="C389" s="13">
        <v>360</v>
      </c>
      <c r="D389" s="3" t="s">
        <v>8</v>
      </c>
      <c r="E389" s="3" t="s">
        <v>7</v>
      </c>
      <c r="F389" s="10" t="str">
        <f t="shared" si="27"/>
        <v>Mar-2025</v>
      </c>
      <c r="G389" t="str">
        <f t="shared" si="24"/>
        <v>2025-03</v>
      </c>
      <c r="H389" s="10">
        <f>VLOOKUP(B389, Price_List!$A$3:$C$62, 2, FALSE)</f>
        <v>350</v>
      </c>
      <c r="I389" s="10">
        <f>VLOOKUP(B389, Price_List!$A$3:$C$62, 3, FALSE)</f>
        <v>500</v>
      </c>
      <c r="J389" s="10" t="str">
        <f t="shared" si="25"/>
        <v>Within Range</v>
      </c>
      <c r="K389" s="10">
        <f t="shared" si="26"/>
        <v>0</v>
      </c>
    </row>
    <row r="390" spans="1:11" ht="15.6" x14ac:dyDescent="0.3">
      <c r="A390" s="9">
        <v>45720</v>
      </c>
      <c r="B390" s="3" t="s">
        <v>36</v>
      </c>
      <c r="C390" s="13">
        <v>120</v>
      </c>
      <c r="D390" s="3" t="s">
        <v>8</v>
      </c>
      <c r="E390" s="3" t="s">
        <v>7</v>
      </c>
      <c r="F390" s="10" t="str">
        <f t="shared" si="27"/>
        <v>Mar-2025</v>
      </c>
      <c r="G390" t="str">
        <f t="shared" si="24"/>
        <v>2025-03</v>
      </c>
      <c r="H390" s="10">
        <f>VLOOKUP(B390, Price_List!$A$3:$C$62, 2, FALSE)</f>
        <v>70</v>
      </c>
      <c r="I390" s="10">
        <f>VLOOKUP(B390, Price_List!$A$3:$C$62, 3, FALSE)</f>
        <v>140</v>
      </c>
      <c r="J390" s="10" t="str">
        <f t="shared" si="25"/>
        <v>Within Range</v>
      </c>
      <c r="K390" s="10">
        <f t="shared" si="26"/>
        <v>0</v>
      </c>
    </row>
    <row r="391" spans="1:11" ht="15.6" x14ac:dyDescent="0.3">
      <c r="A391" s="9">
        <v>45720</v>
      </c>
      <c r="B391" s="3" t="s">
        <v>18</v>
      </c>
      <c r="C391" s="13">
        <v>360</v>
      </c>
      <c r="D391" s="3" t="s">
        <v>8</v>
      </c>
      <c r="E391" s="3" t="s">
        <v>7</v>
      </c>
      <c r="F391" s="10" t="str">
        <f t="shared" si="27"/>
        <v>Mar-2025</v>
      </c>
      <c r="G391" t="str">
        <f t="shared" si="24"/>
        <v>2025-03</v>
      </c>
      <c r="H391" s="10">
        <f>VLOOKUP(B391, Price_List!$A$3:$C$62, 2, FALSE)</f>
        <v>700</v>
      </c>
      <c r="I391" s="10">
        <f>VLOOKUP(B391, Price_List!$A$3:$C$62, 3, FALSE)</f>
        <v>700</v>
      </c>
      <c r="J391" s="10" t="str">
        <f t="shared" si="25"/>
        <v>Below Min(Bargain)</v>
      </c>
      <c r="K391" s="10">
        <f t="shared" si="26"/>
        <v>340</v>
      </c>
    </row>
    <row r="392" spans="1:11" ht="15.6" x14ac:dyDescent="0.3">
      <c r="A392" s="9">
        <v>45721</v>
      </c>
      <c r="B392" s="15" t="s">
        <v>127</v>
      </c>
      <c r="C392" s="13">
        <v>3600</v>
      </c>
      <c r="D392" s="3" t="s">
        <v>6</v>
      </c>
      <c r="E392" s="3" t="s">
        <v>7</v>
      </c>
      <c r="F392" s="10" t="str">
        <f t="shared" si="27"/>
        <v>Mar-2025</v>
      </c>
      <c r="G392" t="str">
        <f t="shared" si="24"/>
        <v>2025-03</v>
      </c>
      <c r="H392" s="10">
        <f>VLOOKUP(B392, Price_List!$A$3:$C$62, 2, FALSE)</f>
        <v>3000</v>
      </c>
      <c r="I392" s="10">
        <f>VLOOKUP(B392, Price_List!$A$3:$C$62, 3, FALSE)</f>
        <v>4000</v>
      </c>
      <c r="J392" s="10" t="str">
        <f t="shared" si="25"/>
        <v>Within Range</v>
      </c>
      <c r="K392" s="10">
        <f t="shared" si="26"/>
        <v>0</v>
      </c>
    </row>
    <row r="393" spans="1:11" ht="15.6" x14ac:dyDescent="0.3">
      <c r="A393" s="9">
        <v>45722</v>
      </c>
      <c r="B393" s="3" t="s">
        <v>5</v>
      </c>
      <c r="C393" s="13">
        <v>60</v>
      </c>
      <c r="D393" s="3" t="s">
        <v>8</v>
      </c>
      <c r="E393" s="3" t="s">
        <v>7</v>
      </c>
      <c r="F393" s="10" t="str">
        <f t="shared" si="27"/>
        <v>Mar-2025</v>
      </c>
      <c r="G393" t="str">
        <f t="shared" si="24"/>
        <v>2025-03</v>
      </c>
      <c r="H393" s="10">
        <f>VLOOKUP(B393, Price_List!$A$3:$C$62, 2, FALSE)</f>
        <v>60</v>
      </c>
      <c r="I393" s="10">
        <f>VLOOKUP(B393, Price_List!$A$3:$C$62, 3, FALSE)</f>
        <v>70</v>
      </c>
      <c r="J393" s="10" t="str">
        <f t="shared" si="25"/>
        <v>Within Range</v>
      </c>
      <c r="K393" s="10">
        <f t="shared" si="26"/>
        <v>0</v>
      </c>
    </row>
    <row r="394" spans="1:11" ht="15.6" x14ac:dyDescent="0.3">
      <c r="A394" s="9">
        <v>45708</v>
      </c>
      <c r="B394" s="3" t="s">
        <v>122</v>
      </c>
      <c r="C394" s="13">
        <v>2000</v>
      </c>
      <c r="D394" s="3" t="s">
        <v>6</v>
      </c>
      <c r="E394" s="3" t="s">
        <v>60</v>
      </c>
      <c r="F394" s="10" t="str">
        <f t="shared" si="27"/>
        <v>Feb-2025</v>
      </c>
      <c r="G394" t="str">
        <f t="shared" si="24"/>
        <v>2025-02</v>
      </c>
      <c r="H394" s="10">
        <f>VLOOKUP(B394, Price_List!$A$3:$C$62, 2, FALSE)</f>
        <v>1000</v>
      </c>
      <c r="I394" s="10">
        <f>VLOOKUP(B394, Price_List!$A$3:$C$62, 3, FALSE)</f>
        <v>6000</v>
      </c>
      <c r="J394" s="10" t="str">
        <f t="shared" si="25"/>
        <v>Within Range</v>
      </c>
      <c r="K394" s="10">
        <f t="shared" si="26"/>
        <v>0</v>
      </c>
    </row>
    <row r="395" spans="1:11" ht="15.6" x14ac:dyDescent="0.3">
      <c r="A395" s="9">
        <v>45723</v>
      </c>
      <c r="B395" s="3" t="s">
        <v>14</v>
      </c>
      <c r="C395" s="13">
        <v>700</v>
      </c>
      <c r="D395" s="3" t="s">
        <v>8</v>
      </c>
      <c r="E395" s="3" t="s">
        <v>7</v>
      </c>
      <c r="F395" s="10" t="str">
        <f t="shared" si="27"/>
        <v>Mar-2025</v>
      </c>
      <c r="G395" t="str">
        <f t="shared" si="24"/>
        <v>2025-03</v>
      </c>
      <c r="H395" s="10">
        <f>VLOOKUP(B395, Price_List!$A$3:$C$62, 2, FALSE)</f>
        <v>800</v>
      </c>
      <c r="I395" s="10">
        <f>VLOOKUP(B395, Price_List!$A$3:$C$62, 3, FALSE)</f>
        <v>1000</v>
      </c>
      <c r="J395" s="10" t="str">
        <f t="shared" si="25"/>
        <v>Below Min(Bargain)</v>
      </c>
      <c r="K395" s="10">
        <f t="shared" si="26"/>
        <v>100</v>
      </c>
    </row>
    <row r="396" spans="1:11" ht="15.6" x14ac:dyDescent="0.3">
      <c r="A396" s="9">
        <v>45722</v>
      </c>
      <c r="B396" s="3" t="s">
        <v>119</v>
      </c>
      <c r="C396" s="13">
        <v>300</v>
      </c>
      <c r="D396" s="3" t="s">
        <v>6</v>
      </c>
      <c r="E396" s="3" t="s">
        <v>60</v>
      </c>
      <c r="F396" s="10" t="str">
        <f t="shared" si="27"/>
        <v>Mar-2025</v>
      </c>
      <c r="G396" t="str">
        <f t="shared" si="24"/>
        <v>2025-03</v>
      </c>
      <c r="H396" s="10">
        <f>VLOOKUP(B396, Price_List!$A$3:$C$62, 2, FALSE)</f>
        <v>200</v>
      </c>
      <c r="I396" s="10">
        <f>VLOOKUP(B396, Price_List!$A$3:$C$62, 3, FALSE)</f>
        <v>300</v>
      </c>
      <c r="J396" s="10" t="str">
        <f t="shared" si="25"/>
        <v>Within Range</v>
      </c>
      <c r="K396" s="10">
        <f t="shared" si="26"/>
        <v>0</v>
      </c>
    </row>
    <row r="397" spans="1:11" ht="15.6" x14ac:dyDescent="0.3">
      <c r="A397" s="9">
        <v>45723</v>
      </c>
      <c r="B397" s="3" t="s">
        <v>59</v>
      </c>
      <c r="C397" s="13">
        <v>150</v>
      </c>
      <c r="D397" s="3" t="s">
        <v>8</v>
      </c>
      <c r="E397" s="3" t="s">
        <v>60</v>
      </c>
      <c r="F397" s="10" t="str">
        <f t="shared" si="27"/>
        <v>Mar-2025</v>
      </c>
      <c r="G397" t="str">
        <f t="shared" si="24"/>
        <v>2025-03</v>
      </c>
      <c r="H397" s="10">
        <f>VLOOKUP(B397, Price_List!$A$3:$C$62, 2, FALSE)</f>
        <v>50</v>
      </c>
      <c r="I397" s="10">
        <f>VLOOKUP(B397, Price_List!$A$3:$C$62, 3, FALSE)</f>
        <v>150</v>
      </c>
      <c r="J397" s="10" t="str">
        <f t="shared" si="25"/>
        <v>Within Range</v>
      </c>
      <c r="K397" s="10">
        <f t="shared" si="26"/>
        <v>0</v>
      </c>
    </row>
    <row r="398" spans="1:11" ht="15.6" x14ac:dyDescent="0.3">
      <c r="A398" s="9">
        <v>45724</v>
      </c>
      <c r="B398" s="15" t="s">
        <v>104</v>
      </c>
      <c r="C398" s="13">
        <v>500</v>
      </c>
      <c r="D398" s="3" t="s">
        <v>6</v>
      </c>
      <c r="E398" s="3" t="s">
        <v>7</v>
      </c>
      <c r="F398" s="10" t="str">
        <f t="shared" si="27"/>
        <v>Mar-2025</v>
      </c>
      <c r="G398" t="str">
        <f t="shared" si="24"/>
        <v>2025-03</v>
      </c>
      <c r="H398" s="10">
        <f>VLOOKUP(B398, Price_List!$A$3:$C$62, 2, FALSE)</f>
        <v>500</v>
      </c>
      <c r="I398" s="10">
        <f>VLOOKUP(B398, Price_List!$A$3:$C$62, 3, FALSE)</f>
        <v>500</v>
      </c>
      <c r="J398" s="10" t="str">
        <f t="shared" si="25"/>
        <v>Within Range</v>
      </c>
      <c r="K398" s="10">
        <f t="shared" si="26"/>
        <v>0</v>
      </c>
    </row>
    <row r="399" spans="1:11" ht="15.6" x14ac:dyDescent="0.3">
      <c r="A399" s="9">
        <v>45723</v>
      </c>
      <c r="B399" s="3" t="s">
        <v>59</v>
      </c>
      <c r="C399" s="13">
        <v>150</v>
      </c>
      <c r="D399" s="3" t="s">
        <v>8</v>
      </c>
      <c r="E399" s="3" t="s">
        <v>60</v>
      </c>
      <c r="F399" s="10" t="str">
        <f t="shared" si="27"/>
        <v>Mar-2025</v>
      </c>
      <c r="G399" t="str">
        <f t="shared" si="24"/>
        <v>2025-03</v>
      </c>
      <c r="H399" s="10">
        <f>VLOOKUP(B399, Price_List!$A$3:$C$62, 2, FALSE)</f>
        <v>50</v>
      </c>
      <c r="I399" s="10">
        <f>VLOOKUP(B399, Price_List!$A$3:$C$62, 3, FALSE)</f>
        <v>150</v>
      </c>
      <c r="J399" s="10" t="str">
        <f t="shared" si="25"/>
        <v>Within Range</v>
      </c>
      <c r="K399" s="10">
        <f t="shared" si="26"/>
        <v>0</v>
      </c>
    </row>
    <row r="400" spans="1:11" ht="15.6" x14ac:dyDescent="0.3">
      <c r="A400" s="9">
        <v>45725</v>
      </c>
      <c r="B400" s="3" t="s">
        <v>36</v>
      </c>
      <c r="C400" s="13">
        <v>110</v>
      </c>
      <c r="D400" s="3" t="s">
        <v>8</v>
      </c>
      <c r="E400" s="3" t="s">
        <v>7</v>
      </c>
      <c r="F400" s="10" t="str">
        <f t="shared" si="27"/>
        <v>Mar-2025</v>
      </c>
      <c r="G400" t="str">
        <f t="shared" si="24"/>
        <v>2025-03</v>
      </c>
      <c r="H400" s="10">
        <f>VLOOKUP(B400, Price_List!$A$3:$C$62, 2, FALSE)</f>
        <v>70</v>
      </c>
      <c r="I400" s="10">
        <f>VLOOKUP(B400, Price_List!$A$3:$C$62, 3, FALSE)</f>
        <v>140</v>
      </c>
      <c r="J400" s="10" t="str">
        <f t="shared" si="25"/>
        <v>Within Range</v>
      </c>
      <c r="K400" s="10">
        <f t="shared" si="26"/>
        <v>0</v>
      </c>
    </row>
    <row r="401" spans="1:11" ht="15.6" x14ac:dyDescent="0.3">
      <c r="A401" s="9">
        <v>45726</v>
      </c>
      <c r="B401" s="3" t="s">
        <v>5</v>
      </c>
      <c r="C401" s="13">
        <v>80</v>
      </c>
      <c r="D401" s="3" t="s">
        <v>6</v>
      </c>
      <c r="E401" s="3" t="s">
        <v>7</v>
      </c>
      <c r="F401" s="10" t="str">
        <f t="shared" si="27"/>
        <v>Mar-2025</v>
      </c>
      <c r="G401" t="str">
        <f t="shared" si="24"/>
        <v>2025-03</v>
      </c>
      <c r="H401" s="10">
        <f>VLOOKUP(B401, Price_List!$A$3:$C$62, 2, FALSE)</f>
        <v>60</v>
      </c>
      <c r="I401" s="10">
        <f>VLOOKUP(B401, Price_List!$A$3:$C$62, 3, FALSE)</f>
        <v>70</v>
      </c>
      <c r="J401" s="10" t="str">
        <f t="shared" si="25"/>
        <v>Above Max</v>
      </c>
      <c r="K401" s="10">
        <f t="shared" si="26"/>
        <v>0</v>
      </c>
    </row>
    <row r="402" spans="1:11" ht="15.6" x14ac:dyDescent="0.3">
      <c r="A402" s="9">
        <v>45727</v>
      </c>
      <c r="B402" s="3" t="s">
        <v>12</v>
      </c>
      <c r="C402" s="13">
        <v>360</v>
      </c>
      <c r="D402" s="3" t="s">
        <v>8</v>
      </c>
      <c r="E402" s="3" t="s">
        <v>7</v>
      </c>
      <c r="F402" s="10" t="str">
        <f t="shared" si="27"/>
        <v>Mar-2025</v>
      </c>
      <c r="G402" t="str">
        <f t="shared" si="24"/>
        <v>2025-03</v>
      </c>
      <c r="H402" s="10">
        <f>VLOOKUP(B402, Price_List!$A$3:$C$62, 2, FALSE)</f>
        <v>350</v>
      </c>
      <c r="I402" s="10">
        <f>VLOOKUP(B402, Price_List!$A$3:$C$62, 3, FALSE)</f>
        <v>500</v>
      </c>
      <c r="J402" s="10" t="str">
        <f t="shared" si="25"/>
        <v>Within Range</v>
      </c>
      <c r="K402" s="10">
        <f t="shared" si="26"/>
        <v>0</v>
      </c>
    </row>
    <row r="403" spans="1:11" ht="15.6" x14ac:dyDescent="0.3">
      <c r="A403" s="9">
        <v>45727</v>
      </c>
      <c r="B403" s="3" t="s">
        <v>16</v>
      </c>
      <c r="C403" s="13">
        <v>400</v>
      </c>
      <c r="D403" s="3" t="s">
        <v>8</v>
      </c>
      <c r="E403" s="3" t="s">
        <v>7</v>
      </c>
      <c r="F403" s="10" t="str">
        <f t="shared" si="27"/>
        <v>Mar-2025</v>
      </c>
      <c r="G403" t="str">
        <f t="shared" si="24"/>
        <v>2025-03</v>
      </c>
      <c r="H403" s="10">
        <f>VLOOKUP(B403, Price_List!$A$3:$C$62, 2, FALSE)</f>
        <v>500</v>
      </c>
      <c r="I403" s="10">
        <f>VLOOKUP(B403, Price_List!$A$3:$C$62, 3, FALSE)</f>
        <v>500</v>
      </c>
      <c r="J403" s="10" t="str">
        <f t="shared" si="25"/>
        <v>Below Min(Bargain)</v>
      </c>
      <c r="K403" s="10">
        <f t="shared" si="26"/>
        <v>100</v>
      </c>
    </row>
    <row r="404" spans="1:11" ht="15.6" x14ac:dyDescent="0.3">
      <c r="A404" s="9">
        <v>45728</v>
      </c>
      <c r="B404" s="15" t="s">
        <v>128</v>
      </c>
      <c r="C404" s="13">
        <v>650</v>
      </c>
      <c r="D404" s="3" t="s">
        <v>8</v>
      </c>
      <c r="E404" s="3" t="s">
        <v>7</v>
      </c>
      <c r="F404" s="10" t="str">
        <f t="shared" si="27"/>
        <v>Mar-2025</v>
      </c>
      <c r="G404" t="str">
        <f t="shared" si="24"/>
        <v>2025-03</v>
      </c>
      <c r="H404" s="10">
        <f>VLOOKUP(B404, Price_List!$A$3:$C$62, 2, FALSE)</f>
        <v>1000</v>
      </c>
      <c r="I404" s="10">
        <f>VLOOKUP(B404, Price_List!$A$3:$C$62, 3, FALSE)</f>
        <v>1000</v>
      </c>
      <c r="J404" s="10" t="str">
        <f t="shared" si="25"/>
        <v>Below Min(Bargain)</v>
      </c>
      <c r="K404" s="10">
        <f t="shared" si="26"/>
        <v>350</v>
      </c>
    </row>
    <row r="405" spans="1:11" ht="15.6" x14ac:dyDescent="0.3">
      <c r="A405" s="9">
        <v>45729</v>
      </c>
      <c r="B405" s="3" t="s">
        <v>14</v>
      </c>
      <c r="C405" s="13">
        <v>950</v>
      </c>
      <c r="D405" s="3" t="s">
        <v>8</v>
      </c>
      <c r="E405" s="3" t="s">
        <v>7</v>
      </c>
      <c r="F405" s="10" t="str">
        <f t="shared" si="27"/>
        <v>Mar-2025</v>
      </c>
      <c r="G405" t="str">
        <f t="shared" si="24"/>
        <v>2025-03</v>
      </c>
      <c r="H405" s="10">
        <f>VLOOKUP(B405, Price_List!$A$3:$C$62, 2, FALSE)</f>
        <v>800</v>
      </c>
      <c r="I405" s="10">
        <f>VLOOKUP(B405, Price_List!$A$3:$C$62, 3, FALSE)</f>
        <v>1000</v>
      </c>
      <c r="J405" s="10" t="str">
        <f t="shared" si="25"/>
        <v>Within Range</v>
      </c>
      <c r="K405" s="10">
        <f t="shared" si="26"/>
        <v>0</v>
      </c>
    </row>
    <row r="406" spans="1:11" ht="15.6" x14ac:dyDescent="0.3">
      <c r="A406" s="9">
        <v>45730</v>
      </c>
      <c r="B406" s="3" t="s">
        <v>5</v>
      </c>
      <c r="C406" s="13">
        <v>60</v>
      </c>
      <c r="D406" s="3" t="s">
        <v>8</v>
      </c>
      <c r="E406" s="3" t="s">
        <v>7</v>
      </c>
      <c r="F406" s="10" t="str">
        <f t="shared" si="27"/>
        <v>Mar-2025</v>
      </c>
      <c r="G406" t="str">
        <f t="shared" si="24"/>
        <v>2025-03</v>
      </c>
      <c r="H406" s="10">
        <f>VLOOKUP(B406, Price_List!$A$3:$C$62, 2, FALSE)</f>
        <v>60</v>
      </c>
      <c r="I406" s="10">
        <f>VLOOKUP(B406, Price_List!$A$3:$C$62, 3, FALSE)</f>
        <v>70</v>
      </c>
      <c r="J406" s="10" t="str">
        <f t="shared" si="25"/>
        <v>Within Range</v>
      </c>
      <c r="K406" s="10">
        <f t="shared" si="26"/>
        <v>0</v>
      </c>
    </row>
    <row r="407" spans="1:11" ht="15.6" x14ac:dyDescent="0.3">
      <c r="A407" s="9">
        <v>45724</v>
      </c>
      <c r="B407" s="3" t="s">
        <v>119</v>
      </c>
      <c r="C407" s="13">
        <v>300</v>
      </c>
      <c r="D407" s="3" t="s">
        <v>6</v>
      </c>
      <c r="E407" s="3" t="s">
        <v>60</v>
      </c>
      <c r="F407" s="10" t="str">
        <f t="shared" si="27"/>
        <v>Mar-2025</v>
      </c>
      <c r="G407" t="str">
        <f t="shared" si="24"/>
        <v>2025-03</v>
      </c>
      <c r="H407" s="10">
        <f>VLOOKUP(B407, Price_List!$A$3:$C$62, 2, FALSE)</f>
        <v>200</v>
      </c>
      <c r="I407" s="10">
        <f>VLOOKUP(B407, Price_List!$A$3:$C$62, 3, FALSE)</f>
        <v>300</v>
      </c>
      <c r="J407" s="10" t="str">
        <f t="shared" si="25"/>
        <v>Within Range</v>
      </c>
      <c r="K407" s="10">
        <f t="shared" si="26"/>
        <v>0</v>
      </c>
    </row>
    <row r="408" spans="1:11" ht="15.6" x14ac:dyDescent="0.3">
      <c r="A408" s="9">
        <v>45731</v>
      </c>
      <c r="B408" s="3" t="s">
        <v>5</v>
      </c>
      <c r="C408" s="13">
        <v>60</v>
      </c>
      <c r="D408" s="3" t="s">
        <v>8</v>
      </c>
      <c r="E408" s="3" t="s">
        <v>7</v>
      </c>
      <c r="F408" s="10" t="str">
        <f t="shared" si="27"/>
        <v>Mar-2025</v>
      </c>
      <c r="G408" t="str">
        <f t="shared" si="24"/>
        <v>2025-03</v>
      </c>
      <c r="H408" s="10">
        <f>VLOOKUP(B408, Price_List!$A$3:$C$62, 2, FALSE)</f>
        <v>60</v>
      </c>
      <c r="I408" s="10">
        <f>VLOOKUP(B408, Price_List!$A$3:$C$62, 3, FALSE)</f>
        <v>70</v>
      </c>
      <c r="J408" s="10" t="str">
        <f t="shared" si="25"/>
        <v>Within Range</v>
      </c>
      <c r="K408" s="10">
        <f t="shared" si="26"/>
        <v>0</v>
      </c>
    </row>
    <row r="409" spans="1:11" ht="15.6" x14ac:dyDescent="0.3">
      <c r="A409" s="9">
        <v>45732</v>
      </c>
      <c r="B409" s="3" t="s">
        <v>11</v>
      </c>
      <c r="C409" s="13">
        <v>350</v>
      </c>
      <c r="D409" s="3" t="s">
        <v>8</v>
      </c>
      <c r="E409" s="3" t="s">
        <v>7</v>
      </c>
      <c r="F409" s="10" t="str">
        <f t="shared" si="27"/>
        <v>Mar-2025</v>
      </c>
      <c r="G409" t="str">
        <f t="shared" si="24"/>
        <v>2025-03</v>
      </c>
      <c r="H409" s="10">
        <f>VLOOKUP(B409, Price_List!$A$3:$C$62, 2, FALSE)</f>
        <v>350</v>
      </c>
      <c r="I409" s="10">
        <f>VLOOKUP(B409, Price_List!$A$3:$C$62, 3, FALSE)</f>
        <v>700</v>
      </c>
      <c r="J409" s="10" t="str">
        <f t="shared" si="25"/>
        <v>Within Range</v>
      </c>
      <c r="K409" s="10">
        <f t="shared" si="26"/>
        <v>0</v>
      </c>
    </row>
    <row r="410" spans="1:11" ht="15.6" x14ac:dyDescent="0.3">
      <c r="A410" s="9">
        <v>45732</v>
      </c>
      <c r="B410" s="3" t="s">
        <v>14</v>
      </c>
      <c r="C410" s="13">
        <v>700</v>
      </c>
      <c r="D410" s="3" t="s">
        <v>8</v>
      </c>
      <c r="E410" s="3" t="s">
        <v>7</v>
      </c>
      <c r="F410" s="10" t="str">
        <f t="shared" si="27"/>
        <v>Mar-2025</v>
      </c>
      <c r="G410" t="str">
        <f t="shared" si="24"/>
        <v>2025-03</v>
      </c>
      <c r="H410" s="10">
        <f>VLOOKUP(B410, Price_List!$A$3:$C$62, 2, FALSE)</f>
        <v>800</v>
      </c>
      <c r="I410" s="10">
        <f>VLOOKUP(B410, Price_List!$A$3:$C$62, 3, FALSE)</f>
        <v>1000</v>
      </c>
      <c r="J410" s="10" t="str">
        <f t="shared" si="25"/>
        <v>Below Min(Bargain)</v>
      </c>
      <c r="K410" s="10">
        <f t="shared" si="26"/>
        <v>100</v>
      </c>
    </row>
    <row r="411" spans="1:11" ht="15.6" x14ac:dyDescent="0.3">
      <c r="A411" s="9">
        <v>45730</v>
      </c>
      <c r="B411" s="3" t="s">
        <v>119</v>
      </c>
      <c r="C411" s="13">
        <v>625</v>
      </c>
      <c r="D411" s="3" t="s">
        <v>6</v>
      </c>
      <c r="E411" s="3" t="s">
        <v>60</v>
      </c>
      <c r="F411" s="10" t="str">
        <f t="shared" si="27"/>
        <v>Mar-2025</v>
      </c>
      <c r="G411" t="str">
        <f t="shared" si="24"/>
        <v>2025-03</v>
      </c>
      <c r="H411" s="10">
        <f>VLOOKUP(B411, Price_List!$A$3:$C$62, 2, FALSE)</f>
        <v>200</v>
      </c>
      <c r="I411" s="10">
        <f>VLOOKUP(B411, Price_List!$A$3:$C$62, 3, FALSE)</f>
        <v>300</v>
      </c>
      <c r="J411" s="10" t="str">
        <f t="shared" si="25"/>
        <v>Above Max</v>
      </c>
      <c r="K411" s="10">
        <f t="shared" si="26"/>
        <v>0</v>
      </c>
    </row>
    <row r="412" spans="1:11" ht="15.6" x14ac:dyDescent="0.3">
      <c r="A412" s="9">
        <v>45734</v>
      </c>
      <c r="B412" s="15" t="s">
        <v>117</v>
      </c>
      <c r="C412" s="13">
        <v>800</v>
      </c>
      <c r="D412" s="3" t="s">
        <v>8</v>
      </c>
      <c r="E412" s="3" t="s">
        <v>7</v>
      </c>
      <c r="F412" s="10" t="str">
        <f t="shared" si="27"/>
        <v>Mar-2025</v>
      </c>
      <c r="G412" t="str">
        <f t="shared" si="24"/>
        <v>2025-03</v>
      </c>
      <c r="H412" s="10">
        <f>VLOOKUP(B412, Price_List!$A$3:$C$62, 2, FALSE)</f>
        <v>800</v>
      </c>
      <c r="I412" s="10">
        <f>VLOOKUP(B412, Price_List!$A$3:$C$62, 3, FALSE)</f>
        <v>800</v>
      </c>
      <c r="J412" s="10" t="str">
        <f t="shared" si="25"/>
        <v>Within Range</v>
      </c>
      <c r="K412" s="10">
        <f t="shared" si="26"/>
        <v>0</v>
      </c>
    </row>
    <row r="413" spans="1:11" ht="15.6" x14ac:dyDescent="0.3">
      <c r="A413" s="9">
        <v>45735</v>
      </c>
      <c r="B413" s="3" t="s">
        <v>5</v>
      </c>
      <c r="C413" s="13">
        <v>60</v>
      </c>
      <c r="D413" s="3" t="s">
        <v>8</v>
      </c>
      <c r="E413" s="3" t="s">
        <v>7</v>
      </c>
      <c r="F413" s="10" t="str">
        <f t="shared" si="27"/>
        <v>Mar-2025</v>
      </c>
      <c r="G413" t="str">
        <f t="shared" si="24"/>
        <v>2025-03</v>
      </c>
      <c r="H413" s="10">
        <f>VLOOKUP(B413, Price_List!$A$3:$C$62, 2, FALSE)</f>
        <v>60</v>
      </c>
      <c r="I413" s="10">
        <f>VLOOKUP(B413, Price_List!$A$3:$C$62, 3, FALSE)</f>
        <v>70</v>
      </c>
      <c r="J413" s="10" t="str">
        <f t="shared" si="25"/>
        <v>Within Range</v>
      </c>
      <c r="K413" s="10">
        <f t="shared" si="26"/>
        <v>0</v>
      </c>
    </row>
    <row r="414" spans="1:11" ht="15.6" x14ac:dyDescent="0.3">
      <c r="A414" s="9">
        <v>45735</v>
      </c>
      <c r="B414" s="3" t="s">
        <v>36</v>
      </c>
      <c r="C414" s="13">
        <v>120</v>
      </c>
      <c r="D414" s="3" t="s">
        <v>8</v>
      </c>
      <c r="E414" s="3" t="s">
        <v>7</v>
      </c>
      <c r="F414" s="10" t="str">
        <f t="shared" si="27"/>
        <v>Mar-2025</v>
      </c>
      <c r="G414" t="str">
        <f t="shared" si="24"/>
        <v>2025-03</v>
      </c>
      <c r="H414" s="10">
        <f>VLOOKUP(B414, Price_List!$A$3:$C$62, 2, FALSE)</f>
        <v>70</v>
      </c>
      <c r="I414" s="10">
        <f>VLOOKUP(B414, Price_List!$A$3:$C$62, 3, FALSE)</f>
        <v>140</v>
      </c>
      <c r="J414" s="10" t="str">
        <f t="shared" si="25"/>
        <v>Within Range</v>
      </c>
      <c r="K414" s="10">
        <f t="shared" si="26"/>
        <v>0</v>
      </c>
    </row>
    <row r="415" spans="1:11" ht="15.6" x14ac:dyDescent="0.3">
      <c r="A415" s="9">
        <v>45737</v>
      </c>
      <c r="B415" s="15" t="s">
        <v>104</v>
      </c>
      <c r="C415" s="13">
        <v>460</v>
      </c>
      <c r="D415" s="3" t="s">
        <v>8</v>
      </c>
      <c r="E415" s="3" t="s">
        <v>7</v>
      </c>
      <c r="F415" s="10" t="str">
        <f t="shared" si="27"/>
        <v>Mar-2025</v>
      </c>
      <c r="G415" t="str">
        <f t="shared" si="24"/>
        <v>2025-03</v>
      </c>
      <c r="H415" s="10">
        <f>VLOOKUP(B415, Price_List!$A$3:$C$62, 2, FALSE)</f>
        <v>500</v>
      </c>
      <c r="I415" s="10">
        <f>VLOOKUP(B415, Price_List!$A$3:$C$62, 3, FALSE)</f>
        <v>500</v>
      </c>
      <c r="J415" s="10" t="str">
        <f t="shared" si="25"/>
        <v>Below Min(Bargain)</v>
      </c>
      <c r="K415" s="10">
        <f t="shared" si="26"/>
        <v>40</v>
      </c>
    </row>
    <row r="416" spans="1:11" ht="15.6" x14ac:dyDescent="0.3">
      <c r="A416" s="9">
        <v>45732</v>
      </c>
      <c r="B416" s="3" t="s">
        <v>59</v>
      </c>
      <c r="C416" s="13">
        <v>150</v>
      </c>
      <c r="D416" s="3" t="s">
        <v>6</v>
      </c>
      <c r="E416" s="3" t="s">
        <v>60</v>
      </c>
      <c r="F416" s="10" t="str">
        <f t="shared" si="27"/>
        <v>Mar-2025</v>
      </c>
      <c r="G416" t="str">
        <f t="shared" si="24"/>
        <v>2025-03</v>
      </c>
      <c r="H416" s="10">
        <f>VLOOKUP(B416, Price_List!$A$3:$C$62, 2, FALSE)</f>
        <v>50</v>
      </c>
      <c r="I416" s="10">
        <f>VLOOKUP(B416, Price_List!$A$3:$C$62, 3, FALSE)</f>
        <v>150</v>
      </c>
      <c r="J416" s="10" t="str">
        <f t="shared" si="25"/>
        <v>Within Range</v>
      </c>
      <c r="K416" s="10">
        <f t="shared" si="26"/>
        <v>0</v>
      </c>
    </row>
    <row r="417" spans="1:11" ht="15.6" x14ac:dyDescent="0.3">
      <c r="A417" s="9">
        <v>45738</v>
      </c>
      <c r="B417" s="3" t="s">
        <v>5</v>
      </c>
      <c r="C417" s="13">
        <v>60</v>
      </c>
      <c r="D417" s="3" t="s">
        <v>6</v>
      </c>
      <c r="E417" s="3" t="s">
        <v>7</v>
      </c>
      <c r="F417" s="10" t="str">
        <f t="shared" si="27"/>
        <v>Mar-2025</v>
      </c>
      <c r="G417" t="str">
        <f t="shared" si="24"/>
        <v>2025-03</v>
      </c>
      <c r="H417" s="10">
        <f>VLOOKUP(B417, Price_List!$A$3:$C$62, 2, FALSE)</f>
        <v>60</v>
      </c>
      <c r="I417" s="10">
        <f>VLOOKUP(B417, Price_List!$A$3:$C$62, 3, FALSE)</f>
        <v>70</v>
      </c>
      <c r="J417" s="10" t="str">
        <f t="shared" si="25"/>
        <v>Within Range</v>
      </c>
      <c r="K417" s="10">
        <f t="shared" si="26"/>
        <v>0</v>
      </c>
    </row>
    <row r="418" spans="1:11" ht="15.6" x14ac:dyDescent="0.3">
      <c r="A418" s="9">
        <v>45739</v>
      </c>
      <c r="B418" s="15" t="s">
        <v>104</v>
      </c>
      <c r="C418" s="13">
        <v>500</v>
      </c>
      <c r="D418" s="3" t="s">
        <v>8</v>
      </c>
      <c r="E418" s="3" t="s">
        <v>7</v>
      </c>
      <c r="F418" s="10" t="str">
        <f t="shared" si="27"/>
        <v>Mar-2025</v>
      </c>
      <c r="G418" t="str">
        <f t="shared" si="24"/>
        <v>2025-03</v>
      </c>
      <c r="H418" s="10">
        <f>VLOOKUP(B418, Price_List!$A$3:$C$62, 2, FALSE)</f>
        <v>500</v>
      </c>
      <c r="I418" s="10">
        <f>VLOOKUP(B418, Price_List!$A$3:$C$62, 3, FALSE)</f>
        <v>500</v>
      </c>
      <c r="J418" s="10" t="str">
        <f t="shared" si="25"/>
        <v>Within Range</v>
      </c>
      <c r="K418" s="10">
        <f t="shared" si="26"/>
        <v>0</v>
      </c>
    </row>
    <row r="419" spans="1:11" ht="15.6" x14ac:dyDescent="0.3">
      <c r="A419" s="9">
        <v>45739</v>
      </c>
      <c r="B419" s="3" t="s">
        <v>36</v>
      </c>
      <c r="C419" s="13">
        <v>100</v>
      </c>
      <c r="D419" s="3" t="s">
        <v>8</v>
      </c>
      <c r="E419" s="3" t="s">
        <v>7</v>
      </c>
      <c r="F419" s="10" t="str">
        <f t="shared" si="27"/>
        <v>Mar-2025</v>
      </c>
      <c r="G419" t="str">
        <f t="shared" si="24"/>
        <v>2025-03</v>
      </c>
      <c r="H419" s="10">
        <f>VLOOKUP(B419, Price_List!$A$3:$C$62, 2, FALSE)</f>
        <v>70</v>
      </c>
      <c r="I419" s="10">
        <f>VLOOKUP(B419, Price_List!$A$3:$C$62, 3, FALSE)</f>
        <v>140</v>
      </c>
      <c r="J419" s="10" t="str">
        <f t="shared" si="25"/>
        <v>Within Range</v>
      </c>
      <c r="K419" s="10">
        <f t="shared" si="26"/>
        <v>0</v>
      </c>
    </row>
    <row r="420" spans="1:11" ht="15.6" x14ac:dyDescent="0.3">
      <c r="A420" s="9">
        <v>45741</v>
      </c>
      <c r="B420" s="15" t="s">
        <v>120</v>
      </c>
      <c r="C420" s="13">
        <v>1000</v>
      </c>
      <c r="D420" s="3" t="s">
        <v>6</v>
      </c>
      <c r="E420" s="3" t="s">
        <v>7</v>
      </c>
      <c r="F420" s="10" t="str">
        <f t="shared" si="27"/>
        <v>Mar-2025</v>
      </c>
      <c r="G420" t="str">
        <f t="shared" si="24"/>
        <v>2025-03</v>
      </c>
      <c r="H420" s="10">
        <f>VLOOKUP(B420, Price_List!$A$3:$C$62, 2, FALSE)</f>
        <v>1000</v>
      </c>
      <c r="I420" s="10">
        <f>VLOOKUP(B420, Price_List!$A$3:$C$62, 3, FALSE)</f>
        <v>1000</v>
      </c>
      <c r="J420" s="10" t="str">
        <f t="shared" si="25"/>
        <v>Within Range</v>
      </c>
      <c r="K420" s="10">
        <f t="shared" si="26"/>
        <v>0</v>
      </c>
    </row>
    <row r="421" spans="1:11" ht="15.6" x14ac:dyDescent="0.3">
      <c r="A421" s="9">
        <v>45737</v>
      </c>
      <c r="B421" s="3" t="s">
        <v>129</v>
      </c>
      <c r="C421" s="13">
        <v>80</v>
      </c>
      <c r="D421" s="3" t="s">
        <v>6</v>
      </c>
      <c r="E421" s="3" t="s">
        <v>60</v>
      </c>
      <c r="F421" s="10" t="str">
        <f t="shared" si="27"/>
        <v>Mar-2025</v>
      </c>
      <c r="G421" t="str">
        <f t="shared" si="24"/>
        <v>2025-03</v>
      </c>
      <c r="H421" s="10">
        <f>VLOOKUP(B421, Price_List!$A$3:$C$62, 2, FALSE)</f>
        <v>100</v>
      </c>
      <c r="I421" s="10">
        <f>VLOOKUP(B421, Price_List!$A$3:$C$62, 3, FALSE)</f>
        <v>300</v>
      </c>
      <c r="J421" s="10" t="str">
        <f t="shared" si="25"/>
        <v>Below Min(Bargain)</v>
      </c>
      <c r="K421" s="10">
        <f t="shared" si="26"/>
        <v>20</v>
      </c>
    </row>
    <row r="422" spans="1:11" ht="15.6" x14ac:dyDescent="0.3">
      <c r="A422" s="9">
        <v>45742</v>
      </c>
      <c r="B422" s="3" t="s">
        <v>5</v>
      </c>
      <c r="C422" s="13">
        <v>60</v>
      </c>
      <c r="D422" s="3" t="s">
        <v>6</v>
      </c>
      <c r="E422" s="3" t="s">
        <v>7</v>
      </c>
      <c r="F422" s="10" t="str">
        <f t="shared" si="27"/>
        <v>Mar-2025</v>
      </c>
      <c r="G422" t="str">
        <f t="shared" si="24"/>
        <v>2025-03</v>
      </c>
      <c r="H422" s="10">
        <f>VLOOKUP(B422, Price_List!$A$3:$C$62, 2, FALSE)</f>
        <v>60</v>
      </c>
      <c r="I422" s="10">
        <f>VLOOKUP(B422, Price_List!$A$3:$C$62, 3, FALSE)</f>
        <v>70</v>
      </c>
      <c r="J422" s="10" t="str">
        <f t="shared" si="25"/>
        <v>Within Range</v>
      </c>
      <c r="K422" s="10">
        <f t="shared" si="26"/>
        <v>0</v>
      </c>
    </row>
    <row r="423" spans="1:11" ht="15.6" x14ac:dyDescent="0.3">
      <c r="A423" s="9">
        <v>45743</v>
      </c>
      <c r="B423" s="15" t="s">
        <v>116</v>
      </c>
      <c r="C423" s="13">
        <v>960</v>
      </c>
      <c r="D423" s="3" t="s">
        <v>8</v>
      </c>
      <c r="E423" s="3" t="s">
        <v>7</v>
      </c>
      <c r="F423" s="10" t="str">
        <f t="shared" si="27"/>
        <v>Mar-2025</v>
      </c>
      <c r="G423" t="str">
        <f t="shared" si="24"/>
        <v>2025-03</v>
      </c>
      <c r="H423" s="10">
        <f>VLOOKUP(B423, Price_List!$A$3:$C$62, 2, FALSE)</f>
        <v>1100</v>
      </c>
      <c r="I423" s="10">
        <f>VLOOKUP(B423, Price_List!$A$3:$C$62, 3, FALSE)</f>
        <v>1100</v>
      </c>
      <c r="J423" s="10" t="str">
        <f t="shared" si="25"/>
        <v>Below Min(Bargain)</v>
      </c>
      <c r="K423" s="10">
        <f t="shared" si="26"/>
        <v>140</v>
      </c>
    </row>
    <row r="424" spans="1:11" ht="15.6" x14ac:dyDescent="0.3">
      <c r="A424" s="9">
        <v>45744</v>
      </c>
      <c r="B424" s="3" t="s">
        <v>5</v>
      </c>
      <c r="C424" s="13">
        <v>60</v>
      </c>
      <c r="D424" s="3" t="s">
        <v>8</v>
      </c>
      <c r="E424" s="3" t="s">
        <v>7</v>
      </c>
      <c r="F424" s="10" t="str">
        <f t="shared" si="27"/>
        <v>Mar-2025</v>
      </c>
      <c r="G424" t="str">
        <f t="shared" si="24"/>
        <v>2025-03</v>
      </c>
      <c r="H424" s="10">
        <f>VLOOKUP(B424, Price_List!$A$3:$C$62, 2, FALSE)</f>
        <v>60</v>
      </c>
      <c r="I424" s="10">
        <f>VLOOKUP(B424, Price_List!$A$3:$C$62, 3, FALSE)</f>
        <v>70</v>
      </c>
      <c r="J424" s="10" t="str">
        <f t="shared" si="25"/>
        <v>Within Range</v>
      </c>
      <c r="K424" s="10">
        <f t="shared" si="26"/>
        <v>0</v>
      </c>
    </row>
    <row r="425" spans="1:11" ht="15.6" x14ac:dyDescent="0.3">
      <c r="A425" s="9">
        <v>45745</v>
      </c>
      <c r="B425" s="3" t="s">
        <v>22</v>
      </c>
      <c r="C425" s="13">
        <v>200</v>
      </c>
      <c r="D425" s="3" t="s">
        <v>8</v>
      </c>
      <c r="E425" s="3" t="s">
        <v>7</v>
      </c>
      <c r="F425" s="10" t="str">
        <f t="shared" si="27"/>
        <v>Mar-2025</v>
      </c>
      <c r="G425" t="str">
        <f t="shared" si="24"/>
        <v>2025-03</v>
      </c>
      <c r="H425" s="10">
        <f>VLOOKUP(B425, Price_List!$A$3:$C$62, 2, FALSE)</f>
        <v>250</v>
      </c>
      <c r="I425" s="10">
        <f>VLOOKUP(B425, Price_List!$A$3:$C$62, 3, FALSE)</f>
        <v>250</v>
      </c>
      <c r="J425" s="10" t="str">
        <f t="shared" si="25"/>
        <v>Below Min(Bargain)</v>
      </c>
      <c r="K425" s="10">
        <f t="shared" si="26"/>
        <v>50</v>
      </c>
    </row>
    <row r="426" spans="1:11" ht="15.6" x14ac:dyDescent="0.3">
      <c r="A426" s="9">
        <v>45747</v>
      </c>
      <c r="B426" s="3" t="s">
        <v>5</v>
      </c>
      <c r="C426" s="13">
        <v>60</v>
      </c>
      <c r="D426" s="3" t="s">
        <v>6</v>
      </c>
      <c r="E426" s="3" t="s">
        <v>7</v>
      </c>
      <c r="F426" s="10" t="str">
        <f t="shared" si="27"/>
        <v>Mar-2025</v>
      </c>
      <c r="G426" t="str">
        <f t="shared" si="24"/>
        <v>2025-03</v>
      </c>
      <c r="H426" s="10">
        <f>VLOOKUP(B426, Price_List!$A$3:$C$62, 2, FALSE)</f>
        <v>60</v>
      </c>
      <c r="I426" s="10">
        <f>VLOOKUP(B426, Price_List!$A$3:$C$62, 3, FALSE)</f>
        <v>70</v>
      </c>
      <c r="J426" s="10" t="str">
        <f t="shared" si="25"/>
        <v>Within Range</v>
      </c>
      <c r="K426" s="10">
        <f t="shared" si="26"/>
        <v>0</v>
      </c>
    </row>
    <row r="427" spans="1:11" ht="15.6" x14ac:dyDescent="0.3">
      <c r="A427" s="9">
        <v>45748</v>
      </c>
      <c r="B427" s="3" t="s">
        <v>29</v>
      </c>
      <c r="C427" s="13">
        <v>470</v>
      </c>
      <c r="D427" s="3" t="s">
        <v>6</v>
      </c>
      <c r="E427" s="3" t="s">
        <v>7</v>
      </c>
      <c r="F427" s="10" t="str">
        <f t="shared" si="27"/>
        <v>Apr-2025</v>
      </c>
      <c r="G427" t="str">
        <f t="shared" si="24"/>
        <v>2025-04</v>
      </c>
      <c r="H427" s="10">
        <f>VLOOKUP(B427, Price_List!$A$3:$C$62, 2, FALSE)</f>
        <v>400</v>
      </c>
      <c r="I427" s="10">
        <f>VLOOKUP(B427, Price_List!$A$3:$C$62, 3, FALSE)</f>
        <v>400</v>
      </c>
      <c r="J427" s="10" t="str">
        <f t="shared" si="25"/>
        <v>Above Max</v>
      </c>
      <c r="K427" s="10">
        <f t="shared" si="26"/>
        <v>0</v>
      </c>
    </row>
    <row r="428" spans="1:11" ht="15.6" x14ac:dyDescent="0.3">
      <c r="A428" s="9">
        <v>45748</v>
      </c>
      <c r="B428" s="3" t="s">
        <v>29</v>
      </c>
      <c r="C428" s="13">
        <v>400</v>
      </c>
      <c r="D428" s="3" t="s">
        <v>8</v>
      </c>
      <c r="E428" s="3" t="s">
        <v>7</v>
      </c>
      <c r="F428" s="10" t="str">
        <f t="shared" si="27"/>
        <v>Apr-2025</v>
      </c>
      <c r="G428" t="str">
        <f t="shared" si="24"/>
        <v>2025-04</v>
      </c>
      <c r="H428" s="10">
        <f>VLOOKUP(B428, Price_List!$A$3:$C$62, 2, FALSE)</f>
        <v>400</v>
      </c>
      <c r="I428" s="10">
        <f>VLOOKUP(B428, Price_List!$A$3:$C$62, 3, FALSE)</f>
        <v>400</v>
      </c>
      <c r="J428" s="10" t="str">
        <f t="shared" si="25"/>
        <v>Within Range</v>
      </c>
      <c r="K428" s="10">
        <f t="shared" si="26"/>
        <v>0</v>
      </c>
    </row>
    <row r="429" spans="1:11" ht="15.6" x14ac:dyDescent="0.3">
      <c r="A429" s="9">
        <v>45748</v>
      </c>
      <c r="B429" s="3" t="s">
        <v>14</v>
      </c>
      <c r="C429" s="13">
        <v>1000</v>
      </c>
      <c r="D429" s="3" t="s">
        <v>8</v>
      </c>
      <c r="E429" s="3" t="s">
        <v>7</v>
      </c>
      <c r="F429" s="10" t="str">
        <f t="shared" si="27"/>
        <v>Apr-2025</v>
      </c>
      <c r="G429" t="str">
        <f t="shared" si="24"/>
        <v>2025-04</v>
      </c>
      <c r="H429" s="10">
        <f>VLOOKUP(B429, Price_List!$A$3:$C$62, 2, FALSE)</f>
        <v>800</v>
      </c>
      <c r="I429" s="10">
        <f>VLOOKUP(B429, Price_List!$A$3:$C$62, 3, FALSE)</f>
        <v>1000</v>
      </c>
      <c r="J429" s="10" t="str">
        <f t="shared" si="25"/>
        <v>Within Range</v>
      </c>
      <c r="K429" s="10">
        <f t="shared" si="26"/>
        <v>0</v>
      </c>
    </row>
    <row r="430" spans="1:11" ht="15.6" x14ac:dyDescent="0.3">
      <c r="A430" s="9">
        <v>45749</v>
      </c>
      <c r="B430" s="3" t="s">
        <v>5</v>
      </c>
      <c r="C430" s="13">
        <v>60</v>
      </c>
      <c r="D430" s="3" t="s">
        <v>8</v>
      </c>
      <c r="E430" s="3" t="s">
        <v>7</v>
      </c>
      <c r="F430" s="10" t="str">
        <f t="shared" si="27"/>
        <v>Apr-2025</v>
      </c>
      <c r="G430" t="str">
        <f t="shared" si="24"/>
        <v>2025-04</v>
      </c>
      <c r="H430" s="10">
        <f>VLOOKUP(B430, Price_List!$A$3:$C$62, 2, FALSE)</f>
        <v>60</v>
      </c>
      <c r="I430" s="10">
        <f>VLOOKUP(B430, Price_List!$A$3:$C$62, 3, FALSE)</f>
        <v>70</v>
      </c>
      <c r="J430" s="10" t="str">
        <f t="shared" si="25"/>
        <v>Within Range</v>
      </c>
      <c r="K430" s="10">
        <f t="shared" si="26"/>
        <v>0</v>
      </c>
    </row>
    <row r="431" spans="1:11" ht="15.6" x14ac:dyDescent="0.3">
      <c r="A431" s="9">
        <v>45749</v>
      </c>
      <c r="B431" s="3" t="s">
        <v>36</v>
      </c>
      <c r="C431" s="13">
        <v>120</v>
      </c>
      <c r="D431" s="3" t="s">
        <v>8</v>
      </c>
      <c r="E431" s="3" t="s">
        <v>7</v>
      </c>
      <c r="F431" s="10" t="str">
        <f t="shared" si="27"/>
        <v>Apr-2025</v>
      </c>
      <c r="G431" t="str">
        <f t="shared" si="24"/>
        <v>2025-04</v>
      </c>
      <c r="H431" s="10">
        <f>VLOOKUP(B431, Price_List!$A$3:$C$62, 2, FALSE)</f>
        <v>70</v>
      </c>
      <c r="I431" s="10">
        <f>VLOOKUP(B431, Price_List!$A$3:$C$62, 3, FALSE)</f>
        <v>140</v>
      </c>
      <c r="J431" s="10" t="str">
        <f t="shared" si="25"/>
        <v>Within Range</v>
      </c>
      <c r="K431" s="10">
        <f t="shared" si="26"/>
        <v>0</v>
      </c>
    </row>
    <row r="432" spans="1:11" ht="15.6" x14ac:dyDescent="0.3">
      <c r="A432" s="9">
        <v>45749</v>
      </c>
      <c r="B432" s="15" t="s">
        <v>106</v>
      </c>
      <c r="C432" s="13">
        <v>310</v>
      </c>
      <c r="D432" s="3" t="s">
        <v>8</v>
      </c>
      <c r="E432" s="3" t="s">
        <v>7</v>
      </c>
      <c r="F432" s="10" t="str">
        <f t="shared" si="27"/>
        <v>Apr-2025</v>
      </c>
      <c r="G432" t="str">
        <f t="shared" si="24"/>
        <v>2025-04</v>
      </c>
      <c r="H432" s="10">
        <f>VLOOKUP(B432, Price_List!$A$3:$C$62, 2, FALSE)</f>
        <v>300</v>
      </c>
      <c r="I432" s="10">
        <f>VLOOKUP(B432, Price_List!$A$3:$C$62, 3, FALSE)</f>
        <v>300</v>
      </c>
      <c r="J432" s="10" t="str">
        <f t="shared" si="25"/>
        <v>Above Max</v>
      </c>
      <c r="K432" s="10">
        <f t="shared" si="26"/>
        <v>0</v>
      </c>
    </row>
    <row r="433" spans="1:11" ht="15.6" x14ac:dyDescent="0.3">
      <c r="A433" s="9">
        <v>45749</v>
      </c>
      <c r="B433" s="3" t="s">
        <v>44</v>
      </c>
      <c r="C433" s="13">
        <v>600</v>
      </c>
      <c r="D433" s="3" t="s">
        <v>8</v>
      </c>
      <c r="E433" s="3" t="s">
        <v>7</v>
      </c>
      <c r="F433" s="10" t="str">
        <f t="shared" si="27"/>
        <v>Apr-2025</v>
      </c>
      <c r="G433" t="str">
        <f t="shared" si="24"/>
        <v>2025-04</v>
      </c>
      <c r="H433" s="10">
        <f>VLOOKUP(B433, Price_List!$A$3:$C$62, 2, FALSE)</f>
        <v>300</v>
      </c>
      <c r="I433" s="10">
        <f>VLOOKUP(B433, Price_List!$A$3:$C$62, 3, FALSE)</f>
        <v>500</v>
      </c>
      <c r="J433" s="10" t="str">
        <f t="shared" si="25"/>
        <v>Above Max</v>
      </c>
      <c r="K433" s="10">
        <f t="shared" si="26"/>
        <v>0</v>
      </c>
    </row>
    <row r="434" spans="1:11" ht="15.6" x14ac:dyDescent="0.3">
      <c r="A434" s="9">
        <v>45749</v>
      </c>
      <c r="B434" s="3" t="s">
        <v>5</v>
      </c>
      <c r="C434" s="13">
        <v>60</v>
      </c>
      <c r="D434" s="3" t="s">
        <v>8</v>
      </c>
      <c r="E434" s="3" t="s">
        <v>7</v>
      </c>
      <c r="F434" s="10" t="str">
        <f t="shared" si="27"/>
        <v>Apr-2025</v>
      </c>
      <c r="G434" t="str">
        <f t="shared" si="24"/>
        <v>2025-04</v>
      </c>
      <c r="H434" s="10">
        <f>VLOOKUP(B434, Price_List!$A$3:$C$62, 2, FALSE)</f>
        <v>60</v>
      </c>
      <c r="I434" s="10">
        <f>VLOOKUP(B434, Price_List!$A$3:$C$62, 3, FALSE)</f>
        <v>70</v>
      </c>
      <c r="J434" s="10" t="str">
        <f t="shared" si="25"/>
        <v>Within Range</v>
      </c>
      <c r="K434" s="10">
        <f t="shared" si="26"/>
        <v>0</v>
      </c>
    </row>
    <row r="435" spans="1:11" ht="15.6" x14ac:dyDescent="0.3">
      <c r="A435" s="9">
        <v>45750</v>
      </c>
      <c r="B435" s="15" t="s">
        <v>109</v>
      </c>
      <c r="C435" s="13">
        <v>560</v>
      </c>
      <c r="D435" s="3" t="s">
        <v>8</v>
      </c>
      <c r="E435" s="3" t="s">
        <v>7</v>
      </c>
      <c r="F435" s="10" t="str">
        <f t="shared" si="27"/>
        <v>Apr-2025</v>
      </c>
      <c r="G435" t="str">
        <f t="shared" si="24"/>
        <v>2025-04</v>
      </c>
      <c r="H435" s="10">
        <f>VLOOKUP(B435, Price_List!$A$3:$C$62, 2, FALSE)</f>
        <v>600</v>
      </c>
      <c r="I435" s="10">
        <f>VLOOKUP(B435, Price_List!$A$3:$C$62, 3, FALSE)</f>
        <v>600</v>
      </c>
      <c r="J435" s="10" t="str">
        <f t="shared" si="25"/>
        <v>Below Min(Bargain)</v>
      </c>
      <c r="K435" s="10">
        <f t="shared" si="26"/>
        <v>40</v>
      </c>
    </row>
    <row r="436" spans="1:11" ht="15.6" x14ac:dyDescent="0.3">
      <c r="A436" s="9">
        <v>45750</v>
      </c>
      <c r="B436" s="3" t="s">
        <v>79</v>
      </c>
      <c r="C436" s="13">
        <v>200</v>
      </c>
      <c r="D436" s="3" t="s">
        <v>8</v>
      </c>
      <c r="E436" s="3" t="s">
        <v>7</v>
      </c>
      <c r="F436" s="10" t="str">
        <f t="shared" si="27"/>
        <v>Apr-2025</v>
      </c>
      <c r="G436" t="str">
        <f t="shared" si="24"/>
        <v>2025-04</v>
      </c>
      <c r="H436" s="10">
        <f>VLOOKUP(B436, Price_List!$A$3:$C$62, 2, FALSE)</f>
        <v>300</v>
      </c>
      <c r="I436" s="10">
        <f>VLOOKUP(B436, Price_List!$A$3:$C$62, 3, FALSE)</f>
        <v>500</v>
      </c>
      <c r="J436" s="10" t="str">
        <f t="shared" si="25"/>
        <v>Below Min(Bargain)</v>
      </c>
      <c r="K436" s="10">
        <f t="shared" si="26"/>
        <v>100</v>
      </c>
    </row>
    <row r="437" spans="1:11" ht="15.6" x14ac:dyDescent="0.3">
      <c r="A437" s="9">
        <v>45750</v>
      </c>
      <c r="B437" s="3" t="s">
        <v>5</v>
      </c>
      <c r="C437" s="13">
        <v>80</v>
      </c>
      <c r="D437" s="3" t="s">
        <v>8</v>
      </c>
      <c r="E437" s="3" t="s">
        <v>7</v>
      </c>
      <c r="F437" s="10" t="str">
        <f t="shared" si="27"/>
        <v>Apr-2025</v>
      </c>
      <c r="G437" t="str">
        <f t="shared" si="24"/>
        <v>2025-04</v>
      </c>
      <c r="H437" s="10">
        <f>VLOOKUP(B437, Price_List!$A$3:$C$62, 2, FALSE)</f>
        <v>60</v>
      </c>
      <c r="I437" s="10">
        <f>VLOOKUP(B437, Price_List!$A$3:$C$62, 3, FALSE)</f>
        <v>70</v>
      </c>
      <c r="J437" s="10" t="str">
        <f t="shared" si="25"/>
        <v>Above Max</v>
      </c>
      <c r="K437" s="10">
        <f t="shared" si="26"/>
        <v>0</v>
      </c>
    </row>
    <row r="438" spans="1:11" ht="15.6" x14ac:dyDescent="0.3">
      <c r="A438" s="9">
        <v>45751</v>
      </c>
      <c r="B438" s="3" t="s">
        <v>5</v>
      </c>
      <c r="C438" s="13">
        <v>60</v>
      </c>
      <c r="D438" s="3" t="s">
        <v>8</v>
      </c>
      <c r="E438" s="3" t="s">
        <v>7</v>
      </c>
      <c r="F438" s="10" t="str">
        <f t="shared" si="27"/>
        <v>Apr-2025</v>
      </c>
      <c r="G438" t="str">
        <f t="shared" si="24"/>
        <v>2025-04</v>
      </c>
      <c r="H438" s="10">
        <f>VLOOKUP(B438, Price_List!$A$3:$C$62, 2, FALSE)</f>
        <v>60</v>
      </c>
      <c r="I438" s="10">
        <f>VLOOKUP(B438, Price_List!$A$3:$C$62, 3, FALSE)</f>
        <v>70</v>
      </c>
      <c r="J438" s="10" t="str">
        <f t="shared" si="25"/>
        <v>Within Range</v>
      </c>
      <c r="K438" s="10">
        <f t="shared" si="26"/>
        <v>0</v>
      </c>
    </row>
    <row r="439" spans="1:11" ht="15.6" x14ac:dyDescent="0.3">
      <c r="A439" s="9">
        <v>45751</v>
      </c>
      <c r="B439" s="3" t="s">
        <v>36</v>
      </c>
      <c r="C439" s="13">
        <v>120</v>
      </c>
      <c r="D439" s="3" t="s">
        <v>8</v>
      </c>
      <c r="E439" s="3" t="s">
        <v>7</v>
      </c>
      <c r="F439" s="10" t="str">
        <f t="shared" si="27"/>
        <v>Apr-2025</v>
      </c>
      <c r="G439" t="str">
        <f t="shared" si="24"/>
        <v>2025-04</v>
      </c>
      <c r="H439" s="10">
        <f>VLOOKUP(B439, Price_List!$A$3:$C$62, 2, FALSE)</f>
        <v>70</v>
      </c>
      <c r="I439" s="10">
        <f>VLOOKUP(B439, Price_List!$A$3:$C$62, 3, FALSE)</f>
        <v>140</v>
      </c>
      <c r="J439" s="10" t="str">
        <f t="shared" si="25"/>
        <v>Within Range</v>
      </c>
      <c r="K439" s="10">
        <f t="shared" si="26"/>
        <v>0</v>
      </c>
    </row>
    <row r="440" spans="1:11" ht="15.6" x14ac:dyDescent="0.3">
      <c r="A440" s="9">
        <v>45741</v>
      </c>
      <c r="B440" s="3" t="s">
        <v>78</v>
      </c>
      <c r="C440" s="13">
        <v>350</v>
      </c>
      <c r="D440" s="3" t="s">
        <v>8</v>
      </c>
      <c r="E440" s="3" t="s">
        <v>60</v>
      </c>
      <c r="F440" s="10" t="str">
        <f t="shared" si="27"/>
        <v>Mar-2025</v>
      </c>
      <c r="G440" t="str">
        <f t="shared" si="24"/>
        <v>2025-03</v>
      </c>
      <c r="H440" s="10">
        <f>VLOOKUP(B440, Price_List!$A$3:$C$62, 2, FALSE)</f>
        <v>300</v>
      </c>
      <c r="I440" s="10">
        <f>VLOOKUP(B440, Price_List!$A$3:$C$62, 3, FALSE)</f>
        <v>500</v>
      </c>
      <c r="J440" s="10" t="str">
        <f t="shared" si="25"/>
        <v>Within Range</v>
      </c>
      <c r="K440" s="10">
        <f t="shared" si="26"/>
        <v>0</v>
      </c>
    </row>
    <row r="441" spans="1:11" ht="15.6" x14ac:dyDescent="0.3">
      <c r="A441" s="9">
        <v>45751</v>
      </c>
      <c r="B441" s="3" t="s">
        <v>119</v>
      </c>
      <c r="C441" s="13">
        <v>250</v>
      </c>
      <c r="D441" s="3" t="s">
        <v>8</v>
      </c>
      <c r="E441" s="3" t="s">
        <v>60</v>
      </c>
      <c r="F441" s="10" t="str">
        <f t="shared" si="27"/>
        <v>Apr-2025</v>
      </c>
      <c r="G441" t="str">
        <f t="shared" si="24"/>
        <v>2025-04</v>
      </c>
      <c r="H441" s="10">
        <f>VLOOKUP(B441, Price_List!$A$3:$C$62, 2, FALSE)</f>
        <v>200</v>
      </c>
      <c r="I441" s="10">
        <f>VLOOKUP(B441, Price_List!$A$3:$C$62, 3, FALSE)</f>
        <v>300</v>
      </c>
      <c r="J441" s="10" t="str">
        <f t="shared" si="25"/>
        <v>Within Range</v>
      </c>
      <c r="K441" s="10">
        <f t="shared" si="26"/>
        <v>0</v>
      </c>
    </row>
    <row r="442" spans="1:11" ht="15.6" x14ac:dyDescent="0.3">
      <c r="A442" s="9">
        <v>45753</v>
      </c>
      <c r="B442" s="3" t="s">
        <v>11</v>
      </c>
      <c r="C442" s="13">
        <v>350</v>
      </c>
      <c r="D442" s="3" t="s">
        <v>8</v>
      </c>
      <c r="E442" s="3" t="s">
        <v>7</v>
      </c>
      <c r="F442" s="10" t="str">
        <f t="shared" si="27"/>
        <v>Apr-2025</v>
      </c>
      <c r="G442" t="str">
        <f t="shared" si="24"/>
        <v>2025-04</v>
      </c>
      <c r="H442" s="10">
        <f>VLOOKUP(B442, Price_List!$A$3:$C$62, 2, FALSE)</f>
        <v>350</v>
      </c>
      <c r="I442" s="10">
        <f>VLOOKUP(B442, Price_List!$A$3:$C$62, 3, FALSE)</f>
        <v>700</v>
      </c>
      <c r="J442" s="10" t="str">
        <f t="shared" si="25"/>
        <v>Within Range</v>
      </c>
      <c r="K442" s="10">
        <f t="shared" si="26"/>
        <v>0</v>
      </c>
    </row>
    <row r="443" spans="1:11" ht="15.6" x14ac:dyDescent="0.3">
      <c r="A443" s="9">
        <v>45753</v>
      </c>
      <c r="B443" s="3" t="s">
        <v>5</v>
      </c>
      <c r="C443" s="13">
        <v>60</v>
      </c>
      <c r="D443" s="3" t="s">
        <v>6</v>
      </c>
      <c r="E443" s="3" t="s">
        <v>7</v>
      </c>
      <c r="F443" s="10" t="str">
        <f t="shared" si="27"/>
        <v>Apr-2025</v>
      </c>
      <c r="G443" t="str">
        <f t="shared" si="24"/>
        <v>2025-04</v>
      </c>
      <c r="H443" s="10">
        <f>VLOOKUP(B443, Price_List!$A$3:$C$62, 2, FALSE)</f>
        <v>60</v>
      </c>
      <c r="I443" s="10">
        <f>VLOOKUP(B443, Price_List!$A$3:$C$62, 3, FALSE)</f>
        <v>70</v>
      </c>
      <c r="J443" s="10" t="str">
        <f t="shared" si="25"/>
        <v>Within Range</v>
      </c>
      <c r="K443" s="10">
        <f t="shared" si="26"/>
        <v>0</v>
      </c>
    </row>
    <row r="444" spans="1:11" ht="15.6" x14ac:dyDescent="0.3">
      <c r="A444" s="9">
        <v>45754</v>
      </c>
      <c r="B444" s="3" t="s">
        <v>36</v>
      </c>
      <c r="C444" s="13">
        <v>110</v>
      </c>
      <c r="D444" s="3" t="s">
        <v>8</v>
      </c>
      <c r="E444" s="3" t="s">
        <v>7</v>
      </c>
      <c r="F444" s="10" t="str">
        <f t="shared" si="27"/>
        <v>Apr-2025</v>
      </c>
      <c r="G444" t="str">
        <f t="shared" si="24"/>
        <v>2025-04</v>
      </c>
      <c r="H444" s="10">
        <f>VLOOKUP(B444, Price_List!$A$3:$C$62, 2, FALSE)</f>
        <v>70</v>
      </c>
      <c r="I444" s="10">
        <f>VLOOKUP(B444, Price_List!$A$3:$C$62, 3, FALSE)</f>
        <v>140</v>
      </c>
      <c r="J444" s="10" t="str">
        <f t="shared" si="25"/>
        <v>Within Range</v>
      </c>
      <c r="K444" s="10">
        <f t="shared" si="26"/>
        <v>0</v>
      </c>
    </row>
    <row r="445" spans="1:11" ht="15.6" x14ac:dyDescent="0.3">
      <c r="A445" s="9">
        <v>45754</v>
      </c>
      <c r="B445" s="3" t="s">
        <v>36</v>
      </c>
      <c r="C445" s="13">
        <v>240</v>
      </c>
      <c r="D445" s="3" t="s">
        <v>8</v>
      </c>
      <c r="E445" s="3" t="s">
        <v>7</v>
      </c>
      <c r="F445" s="10" t="str">
        <f t="shared" si="27"/>
        <v>Apr-2025</v>
      </c>
      <c r="G445" t="str">
        <f t="shared" si="24"/>
        <v>2025-04</v>
      </c>
      <c r="H445" s="10">
        <f>VLOOKUP(B445, Price_List!$A$3:$C$62, 2, FALSE)</f>
        <v>70</v>
      </c>
      <c r="I445" s="10">
        <f>VLOOKUP(B445, Price_List!$A$3:$C$62, 3, FALSE)</f>
        <v>140</v>
      </c>
      <c r="J445" s="10" t="str">
        <f t="shared" si="25"/>
        <v>Above Max</v>
      </c>
      <c r="K445" s="10">
        <f t="shared" si="26"/>
        <v>0</v>
      </c>
    </row>
    <row r="446" spans="1:11" ht="15.6" x14ac:dyDescent="0.3">
      <c r="A446" s="9">
        <v>45751</v>
      </c>
      <c r="B446" s="3" t="s">
        <v>124</v>
      </c>
      <c r="C446" s="13">
        <v>1000</v>
      </c>
      <c r="D446" s="3" t="s">
        <v>8</v>
      </c>
      <c r="E446" s="3" t="s">
        <v>60</v>
      </c>
      <c r="F446" s="10" t="str">
        <f t="shared" si="27"/>
        <v>Apr-2025</v>
      </c>
      <c r="G446" t="str">
        <f t="shared" si="24"/>
        <v>2025-04</v>
      </c>
      <c r="H446" s="10">
        <f>VLOOKUP(B446, Price_List!$A$3:$C$62, 2, FALSE)</f>
        <v>500</v>
      </c>
      <c r="I446" s="10">
        <f>VLOOKUP(B446, Price_List!$A$3:$C$62, 3, FALSE)</f>
        <v>500</v>
      </c>
      <c r="J446" s="10" t="str">
        <f t="shared" si="25"/>
        <v>Above Max</v>
      </c>
      <c r="K446" s="10">
        <f t="shared" si="26"/>
        <v>0</v>
      </c>
    </row>
    <row r="447" spans="1:11" ht="15.6" x14ac:dyDescent="0.3">
      <c r="A447" s="9">
        <v>45751</v>
      </c>
      <c r="B447" s="3" t="s">
        <v>124</v>
      </c>
      <c r="C447" s="13">
        <v>1000</v>
      </c>
      <c r="D447" s="3" t="s">
        <v>8</v>
      </c>
      <c r="E447" s="3" t="s">
        <v>60</v>
      </c>
      <c r="F447" s="10" t="str">
        <f t="shared" si="27"/>
        <v>Apr-2025</v>
      </c>
      <c r="G447" t="str">
        <f t="shared" si="24"/>
        <v>2025-04</v>
      </c>
      <c r="H447" s="10">
        <f>VLOOKUP(B447, Price_List!$A$3:$C$62, 2, FALSE)</f>
        <v>500</v>
      </c>
      <c r="I447" s="10">
        <f>VLOOKUP(B447, Price_List!$A$3:$C$62, 3, FALSE)</f>
        <v>500</v>
      </c>
      <c r="J447" s="10" t="str">
        <f t="shared" si="25"/>
        <v>Above Max</v>
      </c>
      <c r="K447" s="10">
        <f t="shared" si="26"/>
        <v>0</v>
      </c>
    </row>
    <row r="448" spans="1:11" ht="15.6" x14ac:dyDescent="0.3">
      <c r="A448" s="9">
        <v>45757</v>
      </c>
      <c r="B448" s="3" t="s">
        <v>14</v>
      </c>
      <c r="C448" s="13">
        <v>700</v>
      </c>
      <c r="D448" s="3" t="s">
        <v>8</v>
      </c>
      <c r="E448" s="3" t="s">
        <v>7</v>
      </c>
      <c r="F448" s="10" t="str">
        <f t="shared" si="27"/>
        <v>Apr-2025</v>
      </c>
      <c r="G448" t="str">
        <f t="shared" si="24"/>
        <v>2025-04</v>
      </c>
      <c r="H448" s="10">
        <f>VLOOKUP(B448, Price_List!$A$3:$C$62, 2, FALSE)</f>
        <v>800</v>
      </c>
      <c r="I448" s="10">
        <f>VLOOKUP(B448, Price_List!$A$3:$C$62, 3, FALSE)</f>
        <v>1000</v>
      </c>
      <c r="J448" s="10" t="str">
        <f t="shared" si="25"/>
        <v>Below Min(Bargain)</v>
      </c>
      <c r="K448" s="10">
        <f t="shared" si="26"/>
        <v>100</v>
      </c>
    </row>
    <row r="449" spans="1:11" ht="15.6" x14ac:dyDescent="0.3">
      <c r="A449" s="9">
        <v>45757</v>
      </c>
      <c r="B449" s="3" t="s">
        <v>22</v>
      </c>
      <c r="C449" s="13">
        <v>250</v>
      </c>
      <c r="D449" s="3" t="s">
        <v>8</v>
      </c>
      <c r="E449" s="3" t="s">
        <v>7</v>
      </c>
      <c r="F449" s="10" t="str">
        <f t="shared" si="27"/>
        <v>Apr-2025</v>
      </c>
      <c r="G449" t="str">
        <f t="shared" si="24"/>
        <v>2025-04</v>
      </c>
      <c r="H449" s="10">
        <f>VLOOKUP(B449, Price_List!$A$3:$C$62, 2, FALSE)</f>
        <v>250</v>
      </c>
      <c r="I449" s="10">
        <f>VLOOKUP(B449, Price_List!$A$3:$C$62, 3, FALSE)</f>
        <v>250</v>
      </c>
      <c r="J449" s="10" t="str">
        <f t="shared" si="25"/>
        <v>Within Range</v>
      </c>
      <c r="K449" s="10">
        <f t="shared" si="26"/>
        <v>0</v>
      </c>
    </row>
    <row r="450" spans="1:11" ht="15.6" x14ac:dyDescent="0.3">
      <c r="A450" s="9">
        <v>45757</v>
      </c>
      <c r="B450" s="15" t="s">
        <v>104</v>
      </c>
      <c r="C450" s="13">
        <v>400</v>
      </c>
      <c r="D450" s="3" t="s">
        <v>8</v>
      </c>
      <c r="E450" s="3" t="s">
        <v>7</v>
      </c>
      <c r="F450" s="10" t="str">
        <f t="shared" si="27"/>
        <v>Apr-2025</v>
      </c>
      <c r="G450" t="str">
        <f t="shared" si="24"/>
        <v>2025-04</v>
      </c>
      <c r="H450" s="10">
        <f>VLOOKUP(B450, Price_List!$A$3:$C$62, 2, FALSE)</f>
        <v>500</v>
      </c>
      <c r="I450" s="10">
        <f>VLOOKUP(B450, Price_List!$A$3:$C$62, 3, FALSE)</f>
        <v>500</v>
      </c>
      <c r="J450" s="10" t="str">
        <f t="shared" si="25"/>
        <v>Below Min(Bargain)</v>
      </c>
      <c r="K450" s="10">
        <f t="shared" si="26"/>
        <v>100</v>
      </c>
    </row>
    <row r="451" spans="1:11" ht="15.6" x14ac:dyDescent="0.3">
      <c r="A451" s="9">
        <v>45757</v>
      </c>
      <c r="B451" s="3" t="s">
        <v>5</v>
      </c>
      <c r="C451" s="13">
        <v>60</v>
      </c>
      <c r="D451" s="3" t="s">
        <v>6</v>
      </c>
      <c r="E451" s="3" t="s">
        <v>7</v>
      </c>
      <c r="F451" s="10" t="str">
        <f t="shared" si="27"/>
        <v>Apr-2025</v>
      </c>
      <c r="G451" t="str">
        <f t="shared" ref="G451:G514" si="28">TEXT(A451,"yyyy-mm")</f>
        <v>2025-04</v>
      </c>
      <c r="H451" s="10">
        <f>VLOOKUP(B451, Price_List!$A$3:$C$62, 2, FALSE)</f>
        <v>60</v>
      </c>
      <c r="I451" s="10">
        <f>VLOOKUP(B451, Price_List!$A$3:$C$62, 3, FALSE)</f>
        <v>70</v>
      </c>
      <c r="J451" s="10" t="str">
        <f t="shared" ref="J451:J514" si="29">IF(C451 &lt; H451, "Below Min(Bargain)", IF(C451 &gt; I451, "Above Max", "Within Range"))</f>
        <v>Within Range</v>
      </c>
      <c r="K451" s="10">
        <f t="shared" ref="K451:K514" si="30">IF(C451 &lt; H451, H451 - C451, 0)</f>
        <v>0</v>
      </c>
    </row>
    <row r="452" spans="1:11" ht="15.6" x14ac:dyDescent="0.3">
      <c r="A452" s="9">
        <v>45757</v>
      </c>
      <c r="B452" s="15" t="s">
        <v>110</v>
      </c>
      <c r="C452" s="13">
        <v>900</v>
      </c>
      <c r="D452" s="3" t="s">
        <v>8</v>
      </c>
      <c r="E452" s="3" t="s">
        <v>7</v>
      </c>
      <c r="F452" s="10" t="str">
        <f t="shared" ref="F452:F515" si="31">TEXT(A452, "mmm-yyyy")</f>
        <v>Apr-2025</v>
      </c>
      <c r="G452" t="str">
        <f t="shared" si="28"/>
        <v>2025-04</v>
      </c>
      <c r="H452" s="10">
        <f>VLOOKUP(B452, Price_List!$A$3:$C$62, 2, FALSE)</f>
        <v>900</v>
      </c>
      <c r="I452" s="10">
        <f>VLOOKUP(B452, Price_List!$A$3:$C$62, 3, FALSE)</f>
        <v>900</v>
      </c>
      <c r="J452" s="10" t="str">
        <f t="shared" si="29"/>
        <v>Within Range</v>
      </c>
      <c r="K452" s="10">
        <f t="shared" si="30"/>
        <v>0</v>
      </c>
    </row>
    <row r="453" spans="1:11" ht="15.6" x14ac:dyDescent="0.3">
      <c r="A453" s="9">
        <v>45751</v>
      </c>
      <c r="B453" s="3" t="s">
        <v>119</v>
      </c>
      <c r="C453" s="13">
        <v>250</v>
      </c>
      <c r="D453" s="3" t="s">
        <v>8</v>
      </c>
      <c r="E453" s="3" t="s">
        <v>60</v>
      </c>
      <c r="F453" s="10" t="str">
        <f t="shared" si="31"/>
        <v>Apr-2025</v>
      </c>
      <c r="G453" t="str">
        <f t="shared" si="28"/>
        <v>2025-04</v>
      </c>
      <c r="H453" s="10">
        <f>VLOOKUP(B453, Price_List!$A$3:$C$62, 2, FALSE)</f>
        <v>200</v>
      </c>
      <c r="I453" s="10">
        <f>VLOOKUP(B453, Price_List!$A$3:$C$62, 3, FALSE)</f>
        <v>300</v>
      </c>
      <c r="J453" s="10" t="str">
        <f t="shared" si="29"/>
        <v>Within Range</v>
      </c>
      <c r="K453" s="10">
        <f t="shared" si="30"/>
        <v>0</v>
      </c>
    </row>
    <row r="454" spans="1:11" ht="15.6" x14ac:dyDescent="0.3">
      <c r="A454" s="9">
        <v>45758</v>
      </c>
      <c r="B454" s="15" t="s">
        <v>19</v>
      </c>
      <c r="C454" s="13">
        <v>300</v>
      </c>
      <c r="D454" s="3" t="s">
        <v>8</v>
      </c>
      <c r="E454" s="3" t="s">
        <v>7</v>
      </c>
      <c r="F454" s="10" t="str">
        <f t="shared" si="31"/>
        <v>Apr-2025</v>
      </c>
      <c r="G454" t="str">
        <f t="shared" si="28"/>
        <v>2025-04</v>
      </c>
      <c r="H454" s="10">
        <f>VLOOKUP(B454, Price_List!$A$3:$C$62, 2, FALSE)</f>
        <v>300</v>
      </c>
      <c r="I454" s="10">
        <f>VLOOKUP(B454, Price_List!$A$3:$C$62, 3, FALSE)</f>
        <v>300</v>
      </c>
      <c r="J454" s="10" t="str">
        <f t="shared" si="29"/>
        <v>Within Range</v>
      </c>
      <c r="K454" s="10">
        <f t="shared" si="30"/>
        <v>0</v>
      </c>
    </row>
    <row r="455" spans="1:11" ht="15.6" x14ac:dyDescent="0.3">
      <c r="A455" s="9">
        <v>45758</v>
      </c>
      <c r="B455" s="3" t="s">
        <v>36</v>
      </c>
      <c r="C455" s="13">
        <v>120</v>
      </c>
      <c r="D455" s="3" t="s">
        <v>8</v>
      </c>
      <c r="E455" s="3" t="s">
        <v>7</v>
      </c>
      <c r="F455" s="10" t="str">
        <f t="shared" si="31"/>
        <v>Apr-2025</v>
      </c>
      <c r="G455" t="str">
        <f t="shared" si="28"/>
        <v>2025-04</v>
      </c>
      <c r="H455" s="10">
        <f>VLOOKUP(B455, Price_List!$A$3:$C$62, 2, FALSE)</f>
        <v>70</v>
      </c>
      <c r="I455" s="10">
        <f>VLOOKUP(B455, Price_List!$A$3:$C$62, 3, FALSE)</f>
        <v>140</v>
      </c>
      <c r="J455" s="10" t="str">
        <f t="shared" si="29"/>
        <v>Within Range</v>
      </c>
      <c r="K455" s="10">
        <f t="shared" si="30"/>
        <v>0</v>
      </c>
    </row>
    <row r="456" spans="1:11" ht="15.6" x14ac:dyDescent="0.3">
      <c r="A456" s="9">
        <v>45758</v>
      </c>
      <c r="B456" s="15" t="s">
        <v>103</v>
      </c>
      <c r="C456" s="13">
        <v>800</v>
      </c>
      <c r="D456" s="3" t="s">
        <v>6</v>
      </c>
      <c r="E456" s="3" t="s">
        <v>7</v>
      </c>
      <c r="F456" s="10" t="str">
        <f t="shared" si="31"/>
        <v>Apr-2025</v>
      </c>
      <c r="G456" t="str">
        <f t="shared" si="28"/>
        <v>2025-04</v>
      </c>
      <c r="H456" s="10">
        <f>VLOOKUP(B456, Price_List!$A$3:$C$62, 2, FALSE)</f>
        <v>800</v>
      </c>
      <c r="I456" s="10">
        <f>VLOOKUP(B456, Price_List!$A$3:$C$62, 3, FALSE)</f>
        <v>800</v>
      </c>
      <c r="J456" s="10" t="str">
        <f t="shared" si="29"/>
        <v>Within Range</v>
      </c>
      <c r="K456" s="10">
        <f t="shared" si="30"/>
        <v>0</v>
      </c>
    </row>
    <row r="457" spans="1:11" ht="15.6" x14ac:dyDescent="0.3">
      <c r="A457" s="9">
        <v>45758</v>
      </c>
      <c r="B457" s="3" t="s">
        <v>5</v>
      </c>
      <c r="C457" s="13">
        <v>50</v>
      </c>
      <c r="D457" s="3" t="s">
        <v>8</v>
      </c>
      <c r="E457" s="3" t="s">
        <v>7</v>
      </c>
      <c r="F457" s="10" t="str">
        <f t="shared" si="31"/>
        <v>Apr-2025</v>
      </c>
      <c r="G457" t="str">
        <f t="shared" si="28"/>
        <v>2025-04</v>
      </c>
      <c r="H457" s="10">
        <f>VLOOKUP(B457, Price_List!$A$3:$C$62, 2, FALSE)</f>
        <v>60</v>
      </c>
      <c r="I457" s="10">
        <f>VLOOKUP(B457, Price_List!$A$3:$C$62, 3, FALSE)</f>
        <v>70</v>
      </c>
      <c r="J457" s="10" t="str">
        <f t="shared" si="29"/>
        <v>Below Min(Bargain)</v>
      </c>
      <c r="K457" s="10">
        <f t="shared" si="30"/>
        <v>10</v>
      </c>
    </row>
    <row r="458" spans="1:11" ht="15.6" x14ac:dyDescent="0.3">
      <c r="A458" s="9">
        <v>45759</v>
      </c>
      <c r="B458" s="3" t="s">
        <v>5</v>
      </c>
      <c r="C458" s="13">
        <v>80</v>
      </c>
      <c r="D458" s="3" t="s">
        <v>8</v>
      </c>
      <c r="E458" s="3" t="s">
        <v>7</v>
      </c>
      <c r="F458" s="10" t="str">
        <f t="shared" si="31"/>
        <v>Apr-2025</v>
      </c>
      <c r="G458" t="str">
        <f t="shared" si="28"/>
        <v>2025-04</v>
      </c>
      <c r="H458" s="10">
        <f>VLOOKUP(B458, Price_List!$A$3:$C$62, 2, FALSE)</f>
        <v>60</v>
      </c>
      <c r="I458" s="10">
        <f>VLOOKUP(B458, Price_List!$A$3:$C$62, 3, FALSE)</f>
        <v>70</v>
      </c>
      <c r="J458" s="10" t="str">
        <f t="shared" si="29"/>
        <v>Above Max</v>
      </c>
      <c r="K458" s="10">
        <f t="shared" si="30"/>
        <v>0</v>
      </c>
    </row>
    <row r="459" spans="1:11" ht="15.6" x14ac:dyDescent="0.3">
      <c r="A459" s="9">
        <v>45759</v>
      </c>
      <c r="B459" s="15" t="s">
        <v>105</v>
      </c>
      <c r="C459" s="13">
        <v>1200</v>
      </c>
      <c r="D459" s="3" t="s">
        <v>6</v>
      </c>
      <c r="E459" s="3" t="s">
        <v>7</v>
      </c>
      <c r="F459" s="10" t="str">
        <f t="shared" si="31"/>
        <v>Apr-2025</v>
      </c>
      <c r="G459" t="str">
        <f t="shared" si="28"/>
        <v>2025-04</v>
      </c>
      <c r="H459" s="10">
        <f>VLOOKUP(B459, Price_List!$A$3:$C$62, 2, FALSE)</f>
        <v>1100</v>
      </c>
      <c r="I459" s="10">
        <f>VLOOKUP(B459, Price_List!$A$3:$C$62, 3, FALSE)</f>
        <v>1100</v>
      </c>
      <c r="J459" s="10" t="str">
        <f t="shared" si="29"/>
        <v>Above Max</v>
      </c>
      <c r="K459" s="10">
        <f t="shared" si="30"/>
        <v>0</v>
      </c>
    </row>
    <row r="460" spans="1:11" ht="15.6" x14ac:dyDescent="0.3">
      <c r="A460" s="9">
        <v>45759</v>
      </c>
      <c r="B460" s="3" t="s">
        <v>36</v>
      </c>
      <c r="C460" s="13">
        <v>120</v>
      </c>
      <c r="D460" s="3" t="s">
        <v>8</v>
      </c>
      <c r="E460" s="3" t="s">
        <v>7</v>
      </c>
      <c r="F460" s="10" t="str">
        <f t="shared" si="31"/>
        <v>Apr-2025</v>
      </c>
      <c r="G460" t="str">
        <f t="shared" si="28"/>
        <v>2025-04</v>
      </c>
      <c r="H460" s="10">
        <f>VLOOKUP(B460, Price_List!$A$3:$C$62, 2, FALSE)</f>
        <v>70</v>
      </c>
      <c r="I460" s="10">
        <f>VLOOKUP(B460, Price_List!$A$3:$C$62, 3, FALSE)</f>
        <v>140</v>
      </c>
      <c r="J460" s="10" t="str">
        <f t="shared" si="29"/>
        <v>Within Range</v>
      </c>
      <c r="K460" s="10">
        <f t="shared" si="30"/>
        <v>0</v>
      </c>
    </row>
    <row r="461" spans="1:11" ht="15.6" x14ac:dyDescent="0.3">
      <c r="A461" s="9">
        <v>45761</v>
      </c>
      <c r="B461" s="3" t="s">
        <v>14</v>
      </c>
      <c r="C461" s="13">
        <v>750</v>
      </c>
      <c r="D461" s="3" t="s">
        <v>8</v>
      </c>
      <c r="E461" s="3" t="s">
        <v>7</v>
      </c>
      <c r="F461" s="10" t="str">
        <f t="shared" si="31"/>
        <v>Apr-2025</v>
      </c>
      <c r="G461" t="str">
        <f t="shared" si="28"/>
        <v>2025-04</v>
      </c>
      <c r="H461" s="10">
        <f>VLOOKUP(B461, Price_List!$A$3:$C$62, 2, FALSE)</f>
        <v>800</v>
      </c>
      <c r="I461" s="10">
        <f>VLOOKUP(B461, Price_List!$A$3:$C$62, 3, FALSE)</f>
        <v>1000</v>
      </c>
      <c r="J461" s="10" t="str">
        <f t="shared" si="29"/>
        <v>Below Min(Bargain)</v>
      </c>
      <c r="K461" s="10">
        <f t="shared" si="30"/>
        <v>50</v>
      </c>
    </row>
    <row r="462" spans="1:11" ht="15.6" x14ac:dyDescent="0.3">
      <c r="A462" s="9">
        <v>45761</v>
      </c>
      <c r="B462" s="3" t="s">
        <v>22</v>
      </c>
      <c r="C462" s="13">
        <v>250</v>
      </c>
      <c r="D462" s="3" t="s">
        <v>8</v>
      </c>
      <c r="E462" s="3" t="s">
        <v>7</v>
      </c>
      <c r="F462" s="10" t="str">
        <f t="shared" si="31"/>
        <v>Apr-2025</v>
      </c>
      <c r="G462" t="str">
        <f t="shared" si="28"/>
        <v>2025-04</v>
      </c>
      <c r="H462" s="10">
        <f>VLOOKUP(B462, Price_List!$A$3:$C$62, 2, FALSE)</f>
        <v>250</v>
      </c>
      <c r="I462" s="10">
        <f>VLOOKUP(B462, Price_List!$A$3:$C$62, 3, FALSE)</f>
        <v>250</v>
      </c>
      <c r="J462" s="10" t="str">
        <f t="shared" si="29"/>
        <v>Within Range</v>
      </c>
      <c r="K462" s="10">
        <f t="shared" si="30"/>
        <v>0</v>
      </c>
    </row>
    <row r="463" spans="1:11" ht="15.6" x14ac:dyDescent="0.3">
      <c r="A463" s="9">
        <v>45761</v>
      </c>
      <c r="B463" s="3" t="s">
        <v>5</v>
      </c>
      <c r="C463" s="13">
        <v>90</v>
      </c>
      <c r="D463" s="3" t="s">
        <v>8</v>
      </c>
      <c r="E463" s="3" t="s">
        <v>7</v>
      </c>
      <c r="F463" s="10" t="str">
        <f t="shared" si="31"/>
        <v>Apr-2025</v>
      </c>
      <c r="G463" t="str">
        <f t="shared" si="28"/>
        <v>2025-04</v>
      </c>
      <c r="H463" s="10">
        <f>VLOOKUP(B463, Price_List!$A$3:$C$62, 2, FALSE)</f>
        <v>60</v>
      </c>
      <c r="I463" s="10">
        <f>VLOOKUP(B463, Price_List!$A$3:$C$62, 3, FALSE)</f>
        <v>70</v>
      </c>
      <c r="J463" s="10" t="str">
        <f t="shared" si="29"/>
        <v>Above Max</v>
      </c>
      <c r="K463" s="10">
        <f t="shared" si="30"/>
        <v>0</v>
      </c>
    </row>
    <row r="464" spans="1:11" ht="15.6" x14ac:dyDescent="0.3">
      <c r="A464" s="9">
        <v>45755</v>
      </c>
      <c r="B464" s="3" t="s">
        <v>119</v>
      </c>
      <c r="C464" s="13">
        <v>400</v>
      </c>
      <c r="D464" s="3" t="s">
        <v>8</v>
      </c>
      <c r="E464" s="3" t="s">
        <v>60</v>
      </c>
      <c r="F464" s="10" t="str">
        <f t="shared" si="31"/>
        <v>Apr-2025</v>
      </c>
      <c r="G464" t="str">
        <f t="shared" si="28"/>
        <v>2025-04</v>
      </c>
      <c r="H464" s="10">
        <f>VLOOKUP(B464, Price_List!$A$3:$C$62, 2, FALSE)</f>
        <v>200</v>
      </c>
      <c r="I464" s="10">
        <f>VLOOKUP(B464, Price_List!$A$3:$C$62, 3, FALSE)</f>
        <v>300</v>
      </c>
      <c r="J464" s="10" t="str">
        <f t="shared" si="29"/>
        <v>Above Max</v>
      </c>
      <c r="K464" s="10">
        <f t="shared" si="30"/>
        <v>0</v>
      </c>
    </row>
    <row r="465" spans="1:11" ht="15.6" x14ac:dyDescent="0.3">
      <c r="A465" s="9">
        <v>45755</v>
      </c>
      <c r="B465" s="3" t="s">
        <v>129</v>
      </c>
      <c r="C465" s="13">
        <v>175</v>
      </c>
      <c r="D465" s="3" t="s">
        <v>8</v>
      </c>
      <c r="E465" s="3" t="s">
        <v>60</v>
      </c>
      <c r="F465" s="10" t="str">
        <f t="shared" si="31"/>
        <v>Apr-2025</v>
      </c>
      <c r="G465" t="str">
        <f t="shared" si="28"/>
        <v>2025-04</v>
      </c>
      <c r="H465" s="10">
        <f>VLOOKUP(B465, Price_List!$A$3:$C$62, 2, FALSE)</f>
        <v>100</v>
      </c>
      <c r="I465" s="10">
        <f>VLOOKUP(B465, Price_List!$A$3:$C$62, 3, FALSE)</f>
        <v>300</v>
      </c>
      <c r="J465" s="10" t="str">
        <f t="shared" si="29"/>
        <v>Within Range</v>
      </c>
      <c r="K465" s="10">
        <f t="shared" si="30"/>
        <v>0</v>
      </c>
    </row>
    <row r="466" spans="1:11" ht="15.6" x14ac:dyDescent="0.3">
      <c r="A466" s="9">
        <v>45762</v>
      </c>
      <c r="B466" s="3" t="s">
        <v>11</v>
      </c>
      <c r="C466" s="13">
        <v>500</v>
      </c>
      <c r="D466" s="3" t="s">
        <v>6</v>
      </c>
      <c r="E466" s="3" t="s">
        <v>7</v>
      </c>
      <c r="F466" s="10" t="str">
        <f t="shared" si="31"/>
        <v>Apr-2025</v>
      </c>
      <c r="G466" t="str">
        <f t="shared" si="28"/>
        <v>2025-04</v>
      </c>
      <c r="H466" s="10">
        <f>VLOOKUP(B466, Price_List!$A$3:$C$62, 2, FALSE)</f>
        <v>350</v>
      </c>
      <c r="I466" s="10">
        <f>VLOOKUP(B466, Price_List!$A$3:$C$62, 3, FALSE)</f>
        <v>700</v>
      </c>
      <c r="J466" s="10" t="str">
        <f t="shared" si="29"/>
        <v>Within Range</v>
      </c>
      <c r="K466" s="10">
        <f t="shared" si="30"/>
        <v>0</v>
      </c>
    </row>
    <row r="467" spans="1:11" ht="15.6" x14ac:dyDescent="0.3">
      <c r="A467" s="9">
        <v>45762</v>
      </c>
      <c r="B467" s="3" t="s">
        <v>36</v>
      </c>
      <c r="C467" s="13">
        <v>110</v>
      </c>
      <c r="D467" s="3" t="s">
        <v>6</v>
      </c>
      <c r="E467" s="3" t="s">
        <v>7</v>
      </c>
      <c r="F467" s="10" t="str">
        <f t="shared" si="31"/>
        <v>Apr-2025</v>
      </c>
      <c r="G467" t="str">
        <f t="shared" si="28"/>
        <v>2025-04</v>
      </c>
      <c r="H467" s="10">
        <f>VLOOKUP(B467, Price_List!$A$3:$C$62, 2, FALSE)</f>
        <v>70</v>
      </c>
      <c r="I467" s="10">
        <f>VLOOKUP(B467, Price_List!$A$3:$C$62, 3, FALSE)</f>
        <v>140</v>
      </c>
      <c r="J467" s="10" t="str">
        <f t="shared" si="29"/>
        <v>Within Range</v>
      </c>
      <c r="K467" s="10">
        <f t="shared" si="30"/>
        <v>0</v>
      </c>
    </row>
    <row r="468" spans="1:11" ht="15.6" x14ac:dyDescent="0.3">
      <c r="A468" s="9">
        <v>45763</v>
      </c>
      <c r="B468" s="3" t="s">
        <v>36</v>
      </c>
      <c r="C468" s="13">
        <v>180</v>
      </c>
      <c r="D468" s="3" t="s">
        <v>8</v>
      </c>
      <c r="E468" s="3" t="s">
        <v>7</v>
      </c>
      <c r="F468" s="10" t="str">
        <f t="shared" si="31"/>
        <v>Apr-2025</v>
      </c>
      <c r="G468" t="str">
        <f t="shared" si="28"/>
        <v>2025-04</v>
      </c>
      <c r="H468" s="10">
        <f>VLOOKUP(B468, Price_List!$A$3:$C$62, 2, FALSE)</f>
        <v>70</v>
      </c>
      <c r="I468" s="10">
        <f>VLOOKUP(B468, Price_List!$A$3:$C$62, 3, FALSE)</f>
        <v>140</v>
      </c>
      <c r="J468" s="10" t="str">
        <f t="shared" si="29"/>
        <v>Above Max</v>
      </c>
      <c r="K468" s="10">
        <f t="shared" si="30"/>
        <v>0</v>
      </c>
    </row>
    <row r="469" spans="1:11" ht="15.6" x14ac:dyDescent="0.3">
      <c r="A469" s="9">
        <v>45763</v>
      </c>
      <c r="B469" s="3" t="s">
        <v>5</v>
      </c>
      <c r="C469" s="13">
        <v>60</v>
      </c>
      <c r="D469" s="3" t="s">
        <v>8</v>
      </c>
      <c r="E469" s="3" t="s">
        <v>7</v>
      </c>
      <c r="F469" s="10" t="str">
        <f t="shared" si="31"/>
        <v>Apr-2025</v>
      </c>
      <c r="G469" t="str">
        <f t="shared" si="28"/>
        <v>2025-04</v>
      </c>
      <c r="H469" s="10">
        <f>VLOOKUP(B469, Price_List!$A$3:$C$62, 2, FALSE)</f>
        <v>60</v>
      </c>
      <c r="I469" s="10">
        <f>VLOOKUP(B469, Price_List!$A$3:$C$62, 3, FALSE)</f>
        <v>70</v>
      </c>
      <c r="J469" s="10" t="str">
        <f t="shared" si="29"/>
        <v>Within Range</v>
      </c>
      <c r="K469" s="10">
        <f t="shared" si="30"/>
        <v>0</v>
      </c>
    </row>
    <row r="470" spans="1:11" ht="15.6" x14ac:dyDescent="0.3">
      <c r="A470" s="9">
        <v>45763</v>
      </c>
      <c r="B470" s="3" t="s">
        <v>5</v>
      </c>
      <c r="C470" s="13">
        <v>50</v>
      </c>
      <c r="D470" s="3" t="s">
        <v>8</v>
      </c>
      <c r="E470" s="3" t="s">
        <v>7</v>
      </c>
      <c r="F470" s="10" t="str">
        <f t="shared" si="31"/>
        <v>Apr-2025</v>
      </c>
      <c r="G470" t="str">
        <f t="shared" si="28"/>
        <v>2025-04</v>
      </c>
      <c r="H470" s="10">
        <f>VLOOKUP(B470, Price_List!$A$3:$C$62, 2, FALSE)</f>
        <v>60</v>
      </c>
      <c r="I470" s="10">
        <f>VLOOKUP(B470, Price_List!$A$3:$C$62, 3, FALSE)</f>
        <v>70</v>
      </c>
      <c r="J470" s="10" t="str">
        <f t="shared" si="29"/>
        <v>Below Min(Bargain)</v>
      </c>
      <c r="K470" s="10">
        <f t="shared" si="30"/>
        <v>10</v>
      </c>
    </row>
    <row r="471" spans="1:11" ht="15.6" x14ac:dyDescent="0.3">
      <c r="A471" s="9">
        <v>45757</v>
      </c>
      <c r="B471" s="3" t="s">
        <v>126</v>
      </c>
      <c r="C471" s="13">
        <v>150</v>
      </c>
      <c r="D471" s="3" t="s">
        <v>6</v>
      </c>
      <c r="E471" s="3" t="s">
        <v>60</v>
      </c>
      <c r="F471" s="10" t="str">
        <f t="shared" si="31"/>
        <v>Apr-2025</v>
      </c>
      <c r="G471" t="str">
        <f t="shared" si="28"/>
        <v>2025-04</v>
      </c>
      <c r="H471" s="10">
        <f>VLOOKUP(B471, Price_List!$A$3:$C$62, 2, FALSE)</f>
        <v>30</v>
      </c>
      <c r="I471" s="10">
        <f>VLOOKUP(B471, Price_List!$A$3:$C$62, 3, FALSE)</f>
        <v>40</v>
      </c>
      <c r="J471" s="10" t="str">
        <f t="shared" si="29"/>
        <v>Above Max</v>
      </c>
      <c r="K471" s="10">
        <f t="shared" si="30"/>
        <v>0</v>
      </c>
    </row>
    <row r="472" spans="1:11" ht="15.6" x14ac:dyDescent="0.3">
      <c r="A472" s="9">
        <v>45764</v>
      </c>
      <c r="B472" s="3" t="s">
        <v>36</v>
      </c>
      <c r="C472" s="13">
        <v>120</v>
      </c>
      <c r="D472" s="3" t="s">
        <v>8</v>
      </c>
      <c r="E472" s="3" t="s">
        <v>7</v>
      </c>
      <c r="F472" s="10" t="str">
        <f t="shared" si="31"/>
        <v>Apr-2025</v>
      </c>
      <c r="G472" t="str">
        <f t="shared" si="28"/>
        <v>2025-04</v>
      </c>
      <c r="H472" s="10">
        <f>VLOOKUP(B472, Price_List!$A$3:$C$62, 2, FALSE)</f>
        <v>70</v>
      </c>
      <c r="I472" s="10">
        <f>VLOOKUP(B472, Price_List!$A$3:$C$62, 3, FALSE)</f>
        <v>140</v>
      </c>
      <c r="J472" s="10" t="str">
        <f t="shared" si="29"/>
        <v>Within Range</v>
      </c>
      <c r="K472" s="10">
        <f t="shared" si="30"/>
        <v>0</v>
      </c>
    </row>
    <row r="473" spans="1:11" ht="15.6" x14ac:dyDescent="0.3">
      <c r="A473" s="9">
        <v>45764</v>
      </c>
      <c r="B473" s="3" t="s">
        <v>36</v>
      </c>
      <c r="C473" s="13">
        <v>120</v>
      </c>
      <c r="D473" s="3" t="s">
        <v>8</v>
      </c>
      <c r="E473" s="3" t="s">
        <v>7</v>
      </c>
      <c r="F473" s="10" t="str">
        <f t="shared" si="31"/>
        <v>Apr-2025</v>
      </c>
      <c r="G473" t="str">
        <f t="shared" si="28"/>
        <v>2025-04</v>
      </c>
      <c r="H473" s="10">
        <f>VLOOKUP(B473, Price_List!$A$3:$C$62, 2, FALSE)</f>
        <v>70</v>
      </c>
      <c r="I473" s="10">
        <f>VLOOKUP(B473, Price_List!$A$3:$C$62, 3, FALSE)</f>
        <v>140</v>
      </c>
      <c r="J473" s="10" t="str">
        <f t="shared" si="29"/>
        <v>Within Range</v>
      </c>
      <c r="K473" s="10">
        <f t="shared" si="30"/>
        <v>0</v>
      </c>
    </row>
    <row r="474" spans="1:11" ht="15.6" x14ac:dyDescent="0.3">
      <c r="A474" s="9">
        <v>45764</v>
      </c>
      <c r="B474" s="3" t="s">
        <v>5</v>
      </c>
      <c r="C474" s="13">
        <v>60</v>
      </c>
      <c r="D474" s="3" t="s">
        <v>8</v>
      </c>
      <c r="E474" s="3" t="s">
        <v>7</v>
      </c>
      <c r="F474" s="10" t="str">
        <f t="shared" si="31"/>
        <v>Apr-2025</v>
      </c>
      <c r="G474" t="str">
        <f t="shared" si="28"/>
        <v>2025-04</v>
      </c>
      <c r="H474" s="10">
        <f>VLOOKUP(B474, Price_List!$A$3:$C$62, 2, FALSE)</f>
        <v>60</v>
      </c>
      <c r="I474" s="10">
        <f>VLOOKUP(B474, Price_List!$A$3:$C$62, 3, FALSE)</f>
        <v>70</v>
      </c>
      <c r="J474" s="10" t="str">
        <f t="shared" si="29"/>
        <v>Within Range</v>
      </c>
      <c r="K474" s="10">
        <f t="shared" si="30"/>
        <v>0</v>
      </c>
    </row>
    <row r="475" spans="1:11" ht="15.6" x14ac:dyDescent="0.3">
      <c r="A475" s="9">
        <v>45764</v>
      </c>
      <c r="B475" s="3" t="s">
        <v>36</v>
      </c>
      <c r="C475" s="13">
        <v>140</v>
      </c>
      <c r="D475" s="3" t="s">
        <v>8</v>
      </c>
      <c r="E475" s="3" t="s">
        <v>7</v>
      </c>
      <c r="F475" s="10" t="str">
        <f t="shared" si="31"/>
        <v>Apr-2025</v>
      </c>
      <c r="G475" t="str">
        <f t="shared" si="28"/>
        <v>2025-04</v>
      </c>
      <c r="H475" s="10">
        <f>VLOOKUP(B475, Price_List!$A$3:$C$62, 2, FALSE)</f>
        <v>70</v>
      </c>
      <c r="I475" s="10">
        <f>VLOOKUP(B475, Price_List!$A$3:$C$62, 3, FALSE)</f>
        <v>140</v>
      </c>
      <c r="J475" s="10" t="str">
        <f t="shared" si="29"/>
        <v>Within Range</v>
      </c>
      <c r="K475" s="10">
        <f t="shared" si="30"/>
        <v>0</v>
      </c>
    </row>
    <row r="476" spans="1:11" ht="15.6" x14ac:dyDescent="0.3">
      <c r="A476" s="9">
        <v>45761</v>
      </c>
      <c r="B476" s="3" t="s">
        <v>59</v>
      </c>
      <c r="C476" s="13">
        <v>80</v>
      </c>
      <c r="D476" s="3" t="s">
        <v>6</v>
      </c>
      <c r="E476" s="3" t="s">
        <v>60</v>
      </c>
      <c r="F476" s="10" t="str">
        <f t="shared" si="31"/>
        <v>Apr-2025</v>
      </c>
      <c r="G476" t="str">
        <f t="shared" si="28"/>
        <v>2025-04</v>
      </c>
      <c r="H476" s="10">
        <f>VLOOKUP(B476, Price_List!$A$3:$C$62, 2, FALSE)</f>
        <v>50</v>
      </c>
      <c r="I476" s="10">
        <f>VLOOKUP(B476, Price_List!$A$3:$C$62, 3, FALSE)</f>
        <v>150</v>
      </c>
      <c r="J476" s="10" t="str">
        <f t="shared" si="29"/>
        <v>Within Range</v>
      </c>
      <c r="K476" s="10">
        <f t="shared" si="30"/>
        <v>0</v>
      </c>
    </row>
    <row r="477" spans="1:11" ht="15.6" x14ac:dyDescent="0.3">
      <c r="A477" s="9">
        <v>45761</v>
      </c>
      <c r="B477" s="3" t="s">
        <v>59</v>
      </c>
      <c r="C477" s="13">
        <v>50</v>
      </c>
      <c r="D477" s="3" t="s">
        <v>6</v>
      </c>
      <c r="E477" s="3" t="s">
        <v>60</v>
      </c>
      <c r="F477" s="10" t="str">
        <f t="shared" si="31"/>
        <v>Apr-2025</v>
      </c>
      <c r="G477" t="str">
        <f t="shared" si="28"/>
        <v>2025-04</v>
      </c>
      <c r="H477" s="10">
        <f>VLOOKUP(B477, Price_List!$A$3:$C$62, 2, FALSE)</f>
        <v>50</v>
      </c>
      <c r="I477" s="10">
        <f>VLOOKUP(B477, Price_List!$A$3:$C$62, 3, FALSE)</f>
        <v>150</v>
      </c>
      <c r="J477" s="10" t="str">
        <f t="shared" si="29"/>
        <v>Within Range</v>
      </c>
      <c r="K477" s="10">
        <f t="shared" si="30"/>
        <v>0</v>
      </c>
    </row>
    <row r="478" spans="1:11" ht="15.6" x14ac:dyDescent="0.3">
      <c r="A478" s="9">
        <v>45763</v>
      </c>
      <c r="B478" s="3" t="s">
        <v>119</v>
      </c>
      <c r="C478" s="13">
        <v>150</v>
      </c>
      <c r="D478" s="3" t="s">
        <v>8</v>
      </c>
      <c r="E478" s="3" t="s">
        <v>60</v>
      </c>
      <c r="F478" s="10" t="str">
        <f t="shared" si="31"/>
        <v>Apr-2025</v>
      </c>
      <c r="G478" t="str">
        <f t="shared" si="28"/>
        <v>2025-04</v>
      </c>
      <c r="H478" s="10">
        <f>VLOOKUP(B478, Price_List!$A$3:$C$62, 2, FALSE)</f>
        <v>200</v>
      </c>
      <c r="I478" s="10">
        <f>VLOOKUP(B478, Price_List!$A$3:$C$62, 3, FALSE)</f>
        <v>300</v>
      </c>
      <c r="J478" s="10" t="str">
        <f t="shared" si="29"/>
        <v>Below Min(Bargain)</v>
      </c>
      <c r="K478" s="10">
        <f t="shared" si="30"/>
        <v>50</v>
      </c>
    </row>
    <row r="479" spans="1:11" ht="15.6" x14ac:dyDescent="0.3">
      <c r="A479" s="9">
        <v>45764</v>
      </c>
      <c r="B479" s="3" t="s">
        <v>69</v>
      </c>
      <c r="C479" s="13">
        <v>430</v>
      </c>
      <c r="D479" s="3" t="s">
        <v>8</v>
      </c>
      <c r="E479" s="3" t="s">
        <v>60</v>
      </c>
      <c r="F479" s="10" t="str">
        <f t="shared" si="31"/>
        <v>Apr-2025</v>
      </c>
      <c r="G479" t="str">
        <f t="shared" si="28"/>
        <v>2025-04</v>
      </c>
      <c r="H479" s="10">
        <f>VLOOKUP(B479, Price_List!$A$3:$C$62, 2, FALSE)</f>
        <v>350</v>
      </c>
      <c r="I479" s="10">
        <f>VLOOKUP(B479, Price_List!$A$3:$C$62, 3, FALSE)</f>
        <v>350</v>
      </c>
      <c r="J479" s="10" t="str">
        <f t="shared" si="29"/>
        <v>Above Max</v>
      </c>
      <c r="K479" s="10">
        <f t="shared" si="30"/>
        <v>0</v>
      </c>
    </row>
    <row r="480" spans="1:11" ht="15.6" x14ac:dyDescent="0.3">
      <c r="A480" s="9">
        <v>45765</v>
      </c>
      <c r="B480" s="3" t="s">
        <v>119</v>
      </c>
      <c r="C480" s="13">
        <v>300</v>
      </c>
      <c r="D480" s="3" t="s">
        <v>8</v>
      </c>
      <c r="E480" s="3" t="s">
        <v>60</v>
      </c>
      <c r="F480" s="10" t="str">
        <f t="shared" si="31"/>
        <v>Apr-2025</v>
      </c>
      <c r="G480" t="str">
        <f t="shared" si="28"/>
        <v>2025-04</v>
      </c>
      <c r="H480" s="10">
        <f>VLOOKUP(B480, Price_List!$A$3:$C$62, 2, FALSE)</f>
        <v>200</v>
      </c>
      <c r="I480" s="10">
        <f>VLOOKUP(B480, Price_List!$A$3:$C$62, 3, FALSE)</f>
        <v>300</v>
      </c>
      <c r="J480" s="10" t="str">
        <f t="shared" si="29"/>
        <v>Within Range</v>
      </c>
      <c r="K480" s="10">
        <f t="shared" si="30"/>
        <v>0</v>
      </c>
    </row>
    <row r="481" spans="1:11" ht="15.6" x14ac:dyDescent="0.3">
      <c r="A481" s="9">
        <v>45765</v>
      </c>
      <c r="B481" s="3" t="s">
        <v>119</v>
      </c>
      <c r="C481" s="13">
        <v>250</v>
      </c>
      <c r="D481" s="3" t="s">
        <v>8</v>
      </c>
      <c r="E481" s="3" t="s">
        <v>60</v>
      </c>
      <c r="F481" s="10" t="str">
        <f t="shared" si="31"/>
        <v>Apr-2025</v>
      </c>
      <c r="G481" t="str">
        <f t="shared" si="28"/>
        <v>2025-04</v>
      </c>
      <c r="H481" s="10">
        <f>VLOOKUP(B481, Price_List!$A$3:$C$62, 2, FALSE)</f>
        <v>200</v>
      </c>
      <c r="I481" s="10">
        <f>VLOOKUP(B481, Price_List!$A$3:$C$62, 3, FALSE)</f>
        <v>300</v>
      </c>
      <c r="J481" s="10" t="str">
        <f t="shared" si="29"/>
        <v>Within Range</v>
      </c>
      <c r="K481" s="10">
        <f t="shared" si="30"/>
        <v>0</v>
      </c>
    </row>
    <row r="482" spans="1:11" ht="15.6" x14ac:dyDescent="0.3">
      <c r="A482" s="9">
        <v>45766</v>
      </c>
      <c r="B482" s="3" t="s">
        <v>125</v>
      </c>
      <c r="C482" s="13">
        <v>250</v>
      </c>
      <c r="D482" s="3" t="s">
        <v>6</v>
      </c>
      <c r="E482" s="3" t="s">
        <v>60</v>
      </c>
      <c r="F482" s="10" t="str">
        <f t="shared" si="31"/>
        <v>Apr-2025</v>
      </c>
      <c r="G482" t="str">
        <f t="shared" si="28"/>
        <v>2025-04</v>
      </c>
      <c r="H482" s="10">
        <f>VLOOKUP(B482, Price_List!$A$3:$C$62, 2, FALSE)</f>
        <v>100</v>
      </c>
      <c r="I482" s="10">
        <f>VLOOKUP(B482, Price_List!$A$3:$C$62, 3, FALSE)</f>
        <v>500</v>
      </c>
      <c r="J482" s="10" t="str">
        <f t="shared" si="29"/>
        <v>Within Range</v>
      </c>
      <c r="K482" s="10">
        <f t="shared" si="30"/>
        <v>0</v>
      </c>
    </row>
    <row r="483" spans="1:11" ht="15.6" x14ac:dyDescent="0.3">
      <c r="A483" s="9">
        <v>45768</v>
      </c>
      <c r="B483" s="15" t="s">
        <v>115</v>
      </c>
      <c r="C483" s="13">
        <v>800</v>
      </c>
      <c r="D483" s="3" t="s">
        <v>8</v>
      </c>
      <c r="E483" s="3" t="s">
        <v>7</v>
      </c>
      <c r="F483" s="10" t="str">
        <f t="shared" si="31"/>
        <v>Apr-2025</v>
      </c>
      <c r="G483" t="str">
        <f t="shared" si="28"/>
        <v>2025-04</v>
      </c>
      <c r="H483" s="10">
        <f>VLOOKUP(B483, Price_List!$A$3:$C$62, 2, FALSE)</f>
        <v>850</v>
      </c>
      <c r="I483" s="10">
        <f>VLOOKUP(B483, Price_List!$A$3:$C$62, 3, FALSE)</f>
        <v>850</v>
      </c>
      <c r="J483" s="10" t="str">
        <f t="shared" si="29"/>
        <v>Below Min(Bargain)</v>
      </c>
      <c r="K483" s="10">
        <f t="shared" si="30"/>
        <v>50</v>
      </c>
    </row>
    <row r="484" spans="1:11" ht="15.6" x14ac:dyDescent="0.3">
      <c r="A484" s="9">
        <v>45768</v>
      </c>
      <c r="B484" s="3" t="s">
        <v>16</v>
      </c>
      <c r="C484" s="13">
        <v>500</v>
      </c>
      <c r="D484" s="3" t="s">
        <v>8</v>
      </c>
      <c r="E484" s="3" t="s">
        <v>7</v>
      </c>
      <c r="F484" s="10" t="str">
        <f t="shared" si="31"/>
        <v>Apr-2025</v>
      </c>
      <c r="G484" t="str">
        <f t="shared" si="28"/>
        <v>2025-04</v>
      </c>
      <c r="H484" s="10">
        <f>VLOOKUP(B484, Price_List!$A$3:$C$62, 2, FALSE)</f>
        <v>500</v>
      </c>
      <c r="I484" s="10">
        <f>VLOOKUP(B484, Price_List!$A$3:$C$62, 3, FALSE)</f>
        <v>500</v>
      </c>
      <c r="J484" s="10" t="str">
        <f t="shared" si="29"/>
        <v>Within Range</v>
      </c>
      <c r="K484" s="10">
        <f t="shared" si="30"/>
        <v>0</v>
      </c>
    </row>
    <row r="485" spans="1:11" ht="15.6" x14ac:dyDescent="0.3">
      <c r="A485" s="9">
        <v>45768</v>
      </c>
      <c r="B485" s="3" t="s">
        <v>5</v>
      </c>
      <c r="C485" s="13">
        <v>60</v>
      </c>
      <c r="D485" s="3" t="s">
        <v>8</v>
      </c>
      <c r="E485" s="3" t="s">
        <v>7</v>
      </c>
      <c r="F485" s="10" t="str">
        <f t="shared" si="31"/>
        <v>Apr-2025</v>
      </c>
      <c r="G485" t="str">
        <f t="shared" si="28"/>
        <v>2025-04</v>
      </c>
      <c r="H485" s="10">
        <f>VLOOKUP(B485, Price_List!$A$3:$C$62, 2, FALSE)</f>
        <v>60</v>
      </c>
      <c r="I485" s="10">
        <f>VLOOKUP(B485, Price_List!$A$3:$C$62, 3, FALSE)</f>
        <v>70</v>
      </c>
      <c r="J485" s="10" t="str">
        <f t="shared" si="29"/>
        <v>Within Range</v>
      </c>
      <c r="K485" s="10">
        <f t="shared" si="30"/>
        <v>0</v>
      </c>
    </row>
    <row r="486" spans="1:11" ht="15.6" x14ac:dyDescent="0.3">
      <c r="A486" s="9">
        <v>45768</v>
      </c>
      <c r="B486" s="15" t="s">
        <v>115</v>
      </c>
      <c r="C486" s="13">
        <v>900</v>
      </c>
      <c r="D486" s="3" t="s">
        <v>8</v>
      </c>
      <c r="E486" s="3" t="s">
        <v>7</v>
      </c>
      <c r="F486" s="10" t="str">
        <f t="shared" si="31"/>
        <v>Apr-2025</v>
      </c>
      <c r="G486" t="str">
        <f t="shared" si="28"/>
        <v>2025-04</v>
      </c>
      <c r="H486" s="10">
        <f>VLOOKUP(B486, Price_List!$A$3:$C$62, 2, FALSE)</f>
        <v>850</v>
      </c>
      <c r="I486" s="10">
        <f>VLOOKUP(B486, Price_List!$A$3:$C$62, 3, FALSE)</f>
        <v>850</v>
      </c>
      <c r="J486" s="10" t="str">
        <f t="shared" si="29"/>
        <v>Above Max</v>
      </c>
      <c r="K486" s="10">
        <f t="shared" si="30"/>
        <v>0</v>
      </c>
    </row>
    <row r="487" spans="1:11" ht="15.6" x14ac:dyDescent="0.3">
      <c r="A487" s="9">
        <v>45766</v>
      </c>
      <c r="B487" s="3" t="s">
        <v>125</v>
      </c>
      <c r="C487" s="13">
        <v>300</v>
      </c>
      <c r="D487" s="3" t="s">
        <v>6</v>
      </c>
      <c r="E487" s="3" t="s">
        <v>60</v>
      </c>
      <c r="F487" s="10" t="str">
        <f t="shared" si="31"/>
        <v>Apr-2025</v>
      </c>
      <c r="G487" t="str">
        <f t="shared" si="28"/>
        <v>2025-04</v>
      </c>
      <c r="H487" s="10">
        <f>VLOOKUP(B487, Price_List!$A$3:$C$62, 2, FALSE)</f>
        <v>100</v>
      </c>
      <c r="I487" s="10">
        <f>VLOOKUP(B487, Price_List!$A$3:$C$62, 3, FALSE)</f>
        <v>500</v>
      </c>
      <c r="J487" s="10" t="str">
        <f t="shared" si="29"/>
        <v>Within Range</v>
      </c>
      <c r="K487" s="10">
        <f t="shared" si="30"/>
        <v>0</v>
      </c>
    </row>
    <row r="488" spans="1:11" ht="15.6" x14ac:dyDescent="0.3">
      <c r="A488" s="9">
        <v>45769</v>
      </c>
      <c r="B488" s="3" t="s">
        <v>36</v>
      </c>
      <c r="C488" s="13">
        <v>120</v>
      </c>
      <c r="D488" s="3" t="s">
        <v>8</v>
      </c>
      <c r="E488" s="3" t="s">
        <v>7</v>
      </c>
      <c r="F488" s="10" t="str">
        <f t="shared" si="31"/>
        <v>Apr-2025</v>
      </c>
      <c r="G488" t="str">
        <f t="shared" si="28"/>
        <v>2025-04</v>
      </c>
      <c r="H488" s="10">
        <f>VLOOKUP(B488, Price_List!$A$3:$C$62, 2, FALSE)</f>
        <v>70</v>
      </c>
      <c r="I488" s="10">
        <f>VLOOKUP(B488, Price_List!$A$3:$C$62, 3, FALSE)</f>
        <v>140</v>
      </c>
      <c r="J488" s="10" t="str">
        <f t="shared" si="29"/>
        <v>Within Range</v>
      </c>
      <c r="K488" s="10">
        <f t="shared" si="30"/>
        <v>0</v>
      </c>
    </row>
    <row r="489" spans="1:11" ht="15.6" x14ac:dyDescent="0.3">
      <c r="A489" s="9">
        <v>45770</v>
      </c>
      <c r="B489" s="3" t="s">
        <v>5</v>
      </c>
      <c r="C489" s="13">
        <v>60</v>
      </c>
      <c r="D489" s="3" t="s">
        <v>8</v>
      </c>
      <c r="E489" s="3" t="s">
        <v>7</v>
      </c>
      <c r="F489" s="10" t="str">
        <f t="shared" si="31"/>
        <v>Apr-2025</v>
      </c>
      <c r="G489" t="str">
        <f t="shared" si="28"/>
        <v>2025-04</v>
      </c>
      <c r="H489" s="10">
        <f>VLOOKUP(B489, Price_List!$A$3:$C$62, 2, FALSE)</f>
        <v>60</v>
      </c>
      <c r="I489" s="10">
        <f>VLOOKUP(B489, Price_List!$A$3:$C$62, 3, FALSE)</f>
        <v>70</v>
      </c>
      <c r="J489" s="10" t="str">
        <f t="shared" si="29"/>
        <v>Within Range</v>
      </c>
      <c r="K489" s="10">
        <f t="shared" si="30"/>
        <v>0</v>
      </c>
    </row>
    <row r="490" spans="1:11" ht="15.6" x14ac:dyDescent="0.3">
      <c r="A490" s="9">
        <v>45770</v>
      </c>
      <c r="B490" s="3" t="s">
        <v>5</v>
      </c>
      <c r="C490" s="13">
        <v>60</v>
      </c>
      <c r="D490" s="3" t="s">
        <v>8</v>
      </c>
      <c r="E490" s="3" t="s">
        <v>7</v>
      </c>
      <c r="F490" s="10" t="str">
        <f t="shared" si="31"/>
        <v>Apr-2025</v>
      </c>
      <c r="G490" t="str">
        <f t="shared" si="28"/>
        <v>2025-04</v>
      </c>
      <c r="H490" s="10">
        <f>VLOOKUP(B490, Price_List!$A$3:$C$62, 2, FALSE)</f>
        <v>60</v>
      </c>
      <c r="I490" s="10">
        <f>VLOOKUP(B490, Price_List!$A$3:$C$62, 3, FALSE)</f>
        <v>70</v>
      </c>
      <c r="J490" s="10" t="str">
        <f t="shared" si="29"/>
        <v>Within Range</v>
      </c>
      <c r="K490" s="10">
        <f t="shared" si="30"/>
        <v>0</v>
      </c>
    </row>
    <row r="491" spans="1:11" ht="15.6" x14ac:dyDescent="0.3">
      <c r="A491" s="9">
        <v>45770</v>
      </c>
      <c r="B491" s="15" t="s">
        <v>107</v>
      </c>
      <c r="C491" s="13">
        <v>400</v>
      </c>
      <c r="D491" s="3" t="s">
        <v>8</v>
      </c>
      <c r="E491" s="3" t="s">
        <v>7</v>
      </c>
      <c r="F491" s="10" t="str">
        <f t="shared" si="31"/>
        <v>Apr-2025</v>
      </c>
      <c r="G491" t="str">
        <f t="shared" si="28"/>
        <v>2025-04</v>
      </c>
      <c r="H491" s="10">
        <f>VLOOKUP(B491, Price_List!$A$3:$C$62, 2, FALSE)</f>
        <v>3500</v>
      </c>
      <c r="I491" s="10">
        <f>VLOOKUP(B491, Price_List!$A$3:$C$62, 3, FALSE)</f>
        <v>3500</v>
      </c>
      <c r="J491" s="10" t="str">
        <f t="shared" si="29"/>
        <v>Below Min(Bargain)</v>
      </c>
      <c r="K491" s="10">
        <f t="shared" si="30"/>
        <v>3100</v>
      </c>
    </row>
    <row r="492" spans="1:11" ht="15.6" x14ac:dyDescent="0.3">
      <c r="A492" s="9">
        <v>45771</v>
      </c>
      <c r="B492" s="3" t="s">
        <v>5</v>
      </c>
      <c r="C492" s="13">
        <v>120</v>
      </c>
      <c r="D492" s="3" t="s">
        <v>8</v>
      </c>
      <c r="E492" s="3" t="s">
        <v>7</v>
      </c>
      <c r="F492" s="10" t="str">
        <f t="shared" si="31"/>
        <v>Apr-2025</v>
      </c>
      <c r="G492" t="str">
        <f t="shared" si="28"/>
        <v>2025-04</v>
      </c>
      <c r="H492" s="10">
        <f>VLOOKUP(B492, Price_List!$A$3:$C$62, 2, FALSE)</f>
        <v>60</v>
      </c>
      <c r="I492" s="10">
        <f>VLOOKUP(B492, Price_List!$A$3:$C$62, 3, FALSE)</f>
        <v>70</v>
      </c>
      <c r="J492" s="10" t="str">
        <f t="shared" si="29"/>
        <v>Above Max</v>
      </c>
      <c r="K492" s="10">
        <f t="shared" si="30"/>
        <v>0</v>
      </c>
    </row>
    <row r="493" spans="1:11" ht="15.6" x14ac:dyDescent="0.3">
      <c r="A493" s="9">
        <v>45772</v>
      </c>
      <c r="B493" s="3" t="s">
        <v>14</v>
      </c>
      <c r="C493" s="13">
        <v>700</v>
      </c>
      <c r="D493" s="3" t="s">
        <v>6</v>
      </c>
      <c r="E493" s="3" t="s">
        <v>7</v>
      </c>
      <c r="F493" s="10" t="str">
        <f t="shared" si="31"/>
        <v>Apr-2025</v>
      </c>
      <c r="G493" t="str">
        <f t="shared" si="28"/>
        <v>2025-04</v>
      </c>
      <c r="H493" s="10">
        <f>VLOOKUP(B493, Price_List!$A$3:$C$62, 2, FALSE)</f>
        <v>800</v>
      </c>
      <c r="I493" s="10">
        <f>VLOOKUP(B493, Price_List!$A$3:$C$62, 3, FALSE)</f>
        <v>1000</v>
      </c>
      <c r="J493" s="10" t="str">
        <f t="shared" si="29"/>
        <v>Below Min(Bargain)</v>
      </c>
      <c r="K493" s="10">
        <f t="shared" si="30"/>
        <v>100</v>
      </c>
    </row>
    <row r="494" spans="1:11" ht="15.6" x14ac:dyDescent="0.3">
      <c r="A494" s="9">
        <v>45773</v>
      </c>
      <c r="B494" s="3" t="s">
        <v>5</v>
      </c>
      <c r="C494" s="13">
        <v>60</v>
      </c>
      <c r="D494" s="3" t="s">
        <v>8</v>
      </c>
      <c r="E494" s="3" t="s">
        <v>7</v>
      </c>
      <c r="F494" s="10" t="str">
        <f t="shared" si="31"/>
        <v>Apr-2025</v>
      </c>
      <c r="G494" t="str">
        <f t="shared" si="28"/>
        <v>2025-04</v>
      </c>
      <c r="H494" s="10">
        <f>VLOOKUP(B494, Price_List!$A$3:$C$62, 2, FALSE)</f>
        <v>60</v>
      </c>
      <c r="I494" s="10">
        <f>VLOOKUP(B494, Price_List!$A$3:$C$62, 3, FALSE)</f>
        <v>70</v>
      </c>
      <c r="J494" s="10" t="str">
        <f t="shared" si="29"/>
        <v>Within Range</v>
      </c>
      <c r="K494" s="10">
        <f t="shared" si="30"/>
        <v>0</v>
      </c>
    </row>
    <row r="495" spans="1:11" ht="15.6" x14ac:dyDescent="0.3">
      <c r="A495" s="9">
        <v>45773</v>
      </c>
      <c r="B495" s="3" t="s">
        <v>13</v>
      </c>
      <c r="C495" s="13">
        <v>360</v>
      </c>
      <c r="D495" s="3" t="s">
        <v>8</v>
      </c>
      <c r="E495" s="3" t="s">
        <v>7</v>
      </c>
      <c r="F495" s="10" t="str">
        <f t="shared" si="31"/>
        <v>Apr-2025</v>
      </c>
      <c r="G495" t="str">
        <f t="shared" si="28"/>
        <v>2025-04</v>
      </c>
      <c r="H495" s="10">
        <f>VLOOKUP(B495, Price_List!$A$3:$C$62, 2, FALSE)</f>
        <v>350</v>
      </c>
      <c r="I495" s="10">
        <f>VLOOKUP(B495, Price_List!$A$3:$C$62, 3, FALSE)</f>
        <v>350</v>
      </c>
      <c r="J495" s="10" t="str">
        <f t="shared" si="29"/>
        <v>Above Max</v>
      </c>
      <c r="K495" s="10">
        <f t="shared" si="30"/>
        <v>0</v>
      </c>
    </row>
    <row r="496" spans="1:11" ht="15.6" x14ac:dyDescent="0.3">
      <c r="A496" s="9">
        <v>45773</v>
      </c>
      <c r="B496" s="3" t="s">
        <v>5</v>
      </c>
      <c r="C496" s="13">
        <v>60</v>
      </c>
      <c r="D496" s="3" t="s">
        <v>8</v>
      </c>
      <c r="E496" s="3" t="s">
        <v>7</v>
      </c>
      <c r="F496" s="10" t="str">
        <f t="shared" si="31"/>
        <v>Apr-2025</v>
      </c>
      <c r="G496" t="str">
        <f t="shared" si="28"/>
        <v>2025-04</v>
      </c>
      <c r="H496" s="10">
        <f>VLOOKUP(B496, Price_List!$A$3:$C$62, 2, FALSE)</f>
        <v>60</v>
      </c>
      <c r="I496" s="10">
        <f>VLOOKUP(B496, Price_List!$A$3:$C$62, 3, FALSE)</f>
        <v>70</v>
      </c>
      <c r="J496" s="10" t="str">
        <f t="shared" si="29"/>
        <v>Within Range</v>
      </c>
      <c r="K496" s="10">
        <f t="shared" si="30"/>
        <v>0</v>
      </c>
    </row>
    <row r="497" spans="1:11" ht="15.6" x14ac:dyDescent="0.3">
      <c r="A497" s="9">
        <v>45773</v>
      </c>
      <c r="B497" s="3" t="s">
        <v>36</v>
      </c>
      <c r="C497" s="13">
        <v>140</v>
      </c>
      <c r="D497" s="3" t="s">
        <v>8</v>
      </c>
      <c r="E497" s="3" t="s">
        <v>7</v>
      </c>
      <c r="F497" s="10" t="str">
        <f t="shared" si="31"/>
        <v>Apr-2025</v>
      </c>
      <c r="G497" t="str">
        <f t="shared" si="28"/>
        <v>2025-04</v>
      </c>
      <c r="H497" s="10">
        <f>VLOOKUP(B497, Price_List!$A$3:$C$62, 2, FALSE)</f>
        <v>70</v>
      </c>
      <c r="I497" s="10">
        <f>VLOOKUP(B497, Price_List!$A$3:$C$62, 3, FALSE)</f>
        <v>140</v>
      </c>
      <c r="J497" s="10" t="str">
        <f t="shared" si="29"/>
        <v>Within Range</v>
      </c>
      <c r="K497" s="10">
        <f t="shared" si="30"/>
        <v>0</v>
      </c>
    </row>
    <row r="498" spans="1:11" ht="15.6" x14ac:dyDescent="0.3">
      <c r="A498" s="9">
        <v>45776</v>
      </c>
      <c r="B498" s="3" t="s">
        <v>111</v>
      </c>
      <c r="C498" s="13">
        <v>200</v>
      </c>
      <c r="D498" s="3" t="s">
        <v>6</v>
      </c>
      <c r="E498" s="3" t="s">
        <v>7</v>
      </c>
      <c r="F498" s="10" t="str">
        <f t="shared" si="31"/>
        <v>Apr-2025</v>
      </c>
      <c r="G498" t="str">
        <f t="shared" si="28"/>
        <v>2025-04</v>
      </c>
      <c r="H498" s="10">
        <f>VLOOKUP(B498, Price_List!$A$3:$C$62, 2, FALSE)</f>
        <v>150</v>
      </c>
      <c r="I498" s="10">
        <f>VLOOKUP(B498, Price_List!$A$3:$C$62, 3, FALSE)</f>
        <v>200</v>
      </c>
      <c r="J498" s="10" t="str">
        <f t="shared" si="29"/>
        <v>Within Range</v>
      </c>
      <c r="K498" s="10">
        <f t="shared" si="30"/>
        <v>0</v>
      </c>
    </row>
    <row r="499" spans="1:11" ht="15.6" x14ac:dyDescent="0.3">
      <c r="A499" s="9">
        <v>45778</v>
      </c>
      <c r="B499" s="15" t="s">
        <v>104</v>
      </c>
      <c r="C499" s="13">
        <v>500</v>
      </c>
      <c r="D499" s="3" t="s">
        <v>8</v>
      </c>
      <c r="E499" s="3" t="s">
        <v>7</v>
      </c>
      <c r="F499" s="10" t="str">
        <f t="shared" si="31"/>
        <v>May-2025</v>
      </c>
      <c r="G499" t="str">
        <f t="shared" si="28"/>
        <v>2025-05</v>
      </c>
      <c r="H499" s="10">
        <f>VLOOKUP(B499, Price_List!$A$3:$C$62, 2, FALSE)</f>
        <v>500</v>
      </c>
      <c r="I499" s="10">
        <f>VLOOKUP(B499, Price_List!$A$3:$C$62, 3, FALSE)</f>
        <v>500</v>
      </c>
      <c r="J499" s="10" t="str">
        <f t="shared" si="29"/>
        <v>Within Range</v>
      </c>
      <c r="K499" s="10">
        <f t="shared" si="30"/>
        <v>0</v>
      </c>
    </row>
    <row r="500" spans="1:11" ht="15.6" x14ac:dyDescent="0.3">
      <c r="A500" s="9">
        <v>45779</v>
      </c>
      <c r="B500" s="15" t="s">
        <v>19</v>
      </c>
      <c r="C500" s="13">
        <v>300</v>
      </c>
      <c r="D500" s="3" t="s">
        <v>8</v>
      </c>
      <c r="E500" s="3" t="s">
        <v>7</v>
      </c>
      <c r="F500" s="10" t="str">
        <f t="shared" si="31"/>
        <v>May-2025</v>
      </c>
      <c r="G500" t="str">
        <f t="shared" si="28"/>
        <v>2025-05</v>
      </c>
      <c r="H500" s="10">
        <f>VLOOKUP(B500, Price_List!$A$3:$C$62, 2, FALSE)</f>
        <v>300</v>
      </c>
      <c r="I500" s="10">
        <f>VLOOKUP(B500, Price_List!$A$3:$C$62, 3, FALSE)</f>
        <v>300</v>
      </c>
      <c r="J500" s="10" t="str">
        <f t="shared" si="29"/>
        <v>Within Range</v>
      </c>
      <c r="K500" s="10">
        <f t="shared" si="30"/>
        <v>0</v>
      </c>
    </row>
    <row r="501" spans="1:11" ht="15.6" x14ac:dyDescent="0.3">
      <c r="A501" s="9">
        <v>45779</v>
      </c>
      <c r="B501" s="3" t="s">
        <v>12</v>
      </c>
      <c r="C501" s="13">
        <v>400</v>
      </c>
      <c r="D501" s="3" t="s">
        <v>8</v>
      </c>
      <c r="E501" s="3" t="s">
        <v>7</v>
      </c>
      <c r="F501" s="10" t="str">
        <f t="shared" si="31"/>
        <v>May-2025</v>
      </c>
      <c r="G501" t="str">
        <f t="shared" si="28"/>
        <v>2025-05</v>
      </c>
      <c r="H501" s="10">
        <f>VLOOKUP(B501, Price_List!$A$3:$C$62, 2, FALSE)</f>
        <v>350</v>
      </c>
      <c r="I501" s="10">
        <f>VLOOKUP(B501, Price_List!$A$3:$C$62, 3, FALSE)</f>
        <v>500</v>
      </c>
      <c r="J501" s="10" t="str">
        <f t="shared" si="29"/>
        <v>Within Range</v>
      </c>
      <c r="K501" s="10">
        <f t="shared" si="30"/>
        <v>0</v>
      </c>
    </row>
    <row r="502" spans="1:11" ht="15.6" x14ac:dyDescent="0.3">
      <c r="A502" s="9">
        <v>45768</v>
      </c>
      <c r="B502" s="3" t="s">
        <v>122</v>
      </c>
      <c r="C502" s="13">
        <v>2500</v>
      </c>
      <c r="D502" s="3" t="s">
        <v>6</v>
      </c>
      <c r="E502" s="3" t="s">
        <v>60</v>
      </c>
      <c r="F502" s="10" t="str">
        <f t="shared" si="31"/>
        <v>Apr-2025</v>
      </c>
      <c r="G502" t="str">
        <f t="shared" si="28"/>
        <v>2025-04</v>
      </c>
      <c r="H502" s="10">
        <f>VLOOKUP(B502, Price_List!$A$3:$C$62, 2, FALSE)</f>
        <v>1000</v>
      </c>
      <c r="I502" s="10">
        <f>VLOOKUP(B502, Price_List!$A$3:$C$62, 3, FALSE)</f>
        <v>6000</v>
      </c>
      <c r="J502" s="10" t="str">
        <f t="shared" si="29"/>
        <v>Within Range</v>
      </c>
      <c r="K502" s="10">
        <f t="shared" si="30"/>
        <v>0</v>
      </c>
    </row>
    <row r="503" spans="1:11" ht="15.6" x14ac:dyDescent="0.3">
      <c r="A503" s="9">
        <v>45780</v>
      </c>
      <c r="B503" s="3" t="s">
        <v>5</v>
      </c>
      <c r="C503" s="13">
        <v>60</v>
      </c>
      <c r="D503" s="3" t="s">
        <v>8</v>
      </c>
      <c r="E503" s="3" t="s">
        <v>7</v>
      </c>
      <c r="F503" s="10" t="str">
        <f t="shared" si="31"/>
        <v>May-2025</v>
      </c>
      <c r="G503" t="str">
        <f t="shared" si="28"/>
        <v>2025-05</v>
      </c>
      <c r="H503" s="10">
        <f>VLOOKUP(B503, Price_List!$A$3:$C$62, 2, FALSE)</f>
        <v>60</v>
      </c>
      <c r="I503" s="10">
        <f>VLOOKUP(B503, Price_List!$A$3:$C$62, 3, FALSE)</f>
        <v>70</v>
      </c>
      <c r="J503" s="10" t="str">
        <f t="shared" si="29"/>
        <v>Within Range</v>
      </c>
      <c r="K503" s="10">
        <f t="shared" si="30"/>
        <v>0</v>
      </c>
    </row>
    <row r="504" spans="1:11" ht="15.6" x14ac:dyDescent="0.3">
      <c r="A504" s="9">
        <v>45780</v>
      </c>
      <c r="B504" s="15" t="s">
        <v>104</v>
      </c>
      <c r="C504" s="13">
        <v>400</v>
      </c>
      <c r="D504" s="3" t="s">
        <v>8</v>
      </c>
      <c r="E504" s="3" t="s">
        <v>7</v>
      </c>
      <c r="F504" s="10" t="str">
        <f t="shared" si="31"/>
        <v>May-2025</v>
      </c>
      <c r="G504" t="str">
        <f t="shared" si="28"/>
        <v>2025-05</v>
      </c>
      <c r="H504" s="10">
        <f>VLOOKUP(B504, Price_List!$A$3:$C$62, 2, FALSE)</f>
        <v>500</v>
      </c>
      <c r="I504" s="10">
        <f>VLOOKUP(B504, Price_List!$A$3:$C$62, 3, FALSE)</f>
        <v>500</v>
      </c>
      <c r="J504" s="10" t="str">
        <f t="shared" si="29"/>
        <v>Below Min(Bargain)</v>
      </c>
      <c r="K504" s="10">
        <f t="shared" si="30"/>
        <v>100</v>
      </c>
    </row>
    <row r="505" spans="1:11" ht="15.6" x14ac:dyDescent="0.3">
      <c r="A505" s="9">
        <v>45780</v>
      </c>
      <c r="B505" s="15" t="s">
        <v>104</v>
      </c>
      <c r="C505" s="13">
        <v>400</v>
      </c>
      <c r="D505" s="3" t="s">
        <v>8</v>
      </c>
      <c r="E505" s="3" t="s">
        <v>7</v>
      </c>
      <c r="F505" s="10" t="str">
        <f t="shared" si="31"/>
        <v>May-2025</v>
      </c>
      <c r="G505" t="str">
        <f t="shared" si="28"/>
        <v>2025-05</v>
      </c>
      <c r="H505" s="10">
        <f>VLOOKUP(B505, Price_List!$A$3:$C$62, 2, FALSE)</f>
        <v>500</v>
      </c>
      <c r="I505" s="10">
        <f>VLOOKUP(B505, Price_List!$A$3:$C$62, 3, FALSE)</f>
        <v>500</v>
      </c>
      <c r="J505" s="10" t="str">
        <f t="shared" si="29"/>
        <v>Below Min(Bargain)</v>
      </c>
      <c r="K505" s="10">
        <f t="shared" si="30"/>
        <v>100</v>
      </c>
    </row>
    <row r="506" spans="1:11" ht="15.6" x14ac:dyDescent="0.3">
      <c r="A506" s="9">
        <v>45783</v>
      </c>
      <c r="B506" s="15" t="s">
        <v>116</v>
      </c>
      <c r="C506" s="13">
        <v>1100</v>
      </c>
      <c r="D506" s="3" t="s">
        <v>8</v>
      </c>
      <c r="E506" s="3" t="s">
        <v>7</v>
      </c>
      <c r="F506" s="10" t="str">
        <f t="shared" si="31"/>
        <v>May-2025</v>
      </c>
      <c r="G506" t="str">
        <f t="shared" si="28"/>
        <v>2025-05</v>
      </c>
      <c r="H506" s="10">
        <f>VLOOKUP(B506, Price_List!$A$3:$C$62, 2, FALSE)</f>
        <v>1100</v>
      </c>
      <c r="I506" s="10">
        <f>VLOOKUP(B506, Price_List!$A$3:$C$62, 3, FALSE)</f>
        <v>1100</v>
      </c>
      <c r="J506" s="10" t="str">
        <f t="shared" si="29"/>
        <v>Within Range</v>
      </c>
      <c r="K506" s="10">
        <f t="shared" si="30"/>
        <v>0</v>
      </c>
    </row>
    <row r="507" spans="1:11" ht="15.6" x14ac:dyDescent="0.3">
      <c r="A507" s="9">
        <v>45783</v>
      </c>
      <c r="B507" s="3" t="s">
        <v>5</v>
      </c>
      <c r="C507" s="13">
        <v>60</v>
      </c>
      <c r="D507" s="3" t="s">
        <v>8</v>
      </c>
      <c r="E507" s="3" t="s">
        <v>7</v>
      </c>
      <c r="F507" s="10" t="str">
        <f t="shared" si="31"/>
        <v>May-2025</v>
      </c>
      <c r="G507" t="str">
        <f t="shared" si="28"/>
        <v>2025-05</v>
      </c>
      <c r="H507" s="10">
        <f>VLOOKUP(B507, Price_List!$A$3:$C$62, 2, FALSE)</f>
        <v>60</v>
      </c>
      <c r="I507" s="10">
        <f>VLOOKUP(B507, Price_List!$A$3:$C$62, 3, FALSE)</f>
        <v>70</v>
      </c>
      <c r="J507" s="10" t="str">
        <f t="shared" si="29"/>
        <v>Within Range</v>
      </c>
      <c r="K507" s="10">
        <f t="shared" si="30"/>
        <v>0</v>
      </c>
    </row>
    <row r="508" spans="1:11" ht="15.6" x14ac:dyDescent="0.3">
      <c r="A508" s="9">
        <v>45783</v>
      </c>
      <c r="B508" s="3" t="s">
        <v>14</v>
      </c>
      <c r="C508" s="13">
        <v>700</v>
      </c>
      <c r="D508" s="3" t="s">
        <v>8</v>
      </c>
      <c r="E508" s="3" t="s">
        <v>7</v>
      </c>
      <c r="F508" s="10" t="str">
        <f t="shared" si="31"/>
        <v>May-2025</v>
      </c>
      <c r="G508" t="str">
        <f t="shared" si="28"/>
        <v>2025-05</v>
      </c>
      <c r="H508" s="10">
        <f>VLOOKUP(B508, Price_List!$A$3:$C$62, 2, FALSE)</f>
        <v>800</v>
      </c>
      <c r="I508" s="10">
        <f>VLOOKUP(B508, Price_List!$A$3:$C$62, 3, FALSE)</f>
        <v>1000</v>
      </c>
      <c r="J508" s="10" t="str">
        <f t="shared" si="29"/>
        <v>Below Min(Bargain)</v>
      </c>
      <c r="K508" s="10">
        <f t="shared" si="30"/>
        <v>100</v>
      </c>
    </row>
    <row r="509" spans="1:11" ht="15.6" x14ac:dyDescent="0.3">
      <c r="A509" s="9">
        <v>45786</v>
      </c>
      <c r="B509" s="3" t="s">
        <v>5</v>
      </c>
      <c r="C509" s="13">
        <v>100</v>
      </c>
      <c r="D509" s="3" t="s">
        <v>6</v>
      </c>
      <c r="E509" s="3" t="s">
        <v>7</v>
      </c>
      <c r="F509" s="10" t="str">
        <f t="shared" si="31"/>
        <v>May-2025</v>
      </c>
      <c r="G509" t="str">
        <f t="shared" si="28"/>
        <v>2025-05</v>
      </c>
      <c r="H509" s="10">
        <f>VLOOKUP(B509, Price_List!$A$3:$C$62, 2, FALSE)</f>
        <v>60</v>
      </c>
      <c r="I509" s="10">
        <f>VLOOKUP(B509, Price_List!$A$3:$C$62, 3, FALSE)</f>
        <v>70</v>
      </c>
      <c r="J509" s="10" t="str">
        <f t="shared" si="29"/>
        <v>Above Max</v>
      </c>
      <c r="K509" s="10">
        <f t="shared" si="30"/>
        <v>0</v>
      </c>
    </row>
    <row r="510" spans="1:11" ht="15.6" x14ac:dyDescent="0.3">
      <c r="A510" s="9">
        <v>45787</v>
      </c>
      <c r="B510" s="3" t="s">
        <v>18</v>
      </c>
      <c r="C510" s="13">
        <v>750</v>
      </c>
      <c r="D510" s="3" t="s">
        <v>8</v>
      </c>
      <c r="E510" s="3" t="s">
        <v>7</v>
      </c>
      <c r="F510" s="10" t="str">
        <f t="shared" si="31"/>
        <v>May-2025</v>
      </c>
      <c r="G510" t="str">
        <f t="shared" si="28"/>
        <v>2025-05</v>
      </c>
      <c r="H510" s="10">
        <f>VLOOKUP(B510, Price_List!$A$3:$C$62, 2, FALSE)</f>
        <v>700</v>
      </c>
      <c r="I510" s="10">
        <f>VLOOKUP(B510, Price_List!$A$3:$C$62, 3, FALSE)</f>
        <v>700</v>
      </c>
      <c r="J510" s="10" t="str">
        <f t="shared" si="29"/>
        <v>Above Max</v>
      </c>
      <c r="K510" s="10">
        <f t="shared" si="30"/>
        <v>0</v>
      </c>
    </row>
    <row r="511" spans="1:11" ht="15.6" x14ac:dyDescent="0.3">
      <c r="A511" s="9">
        <v>45779</v>
      </c>
      <c r="B511" s="3" t="s">
        <v>119</v>
      </c>
      <c r="C511" s="13">
        <v>400</v>
      </c>
      <c r="D511" s="3" t="s">
        <v>8</v>
      </c>
      <c r="E511" s="3" t="s">
        <v>60</v>
      </c>
      <c r="F511" s="10" t="str">
        <f t="shared" si="31"/>
        <v>May-2025</v>
      </c>
      <c r="G511" t="str">
        <f t="shared" si="28"/>
        <v>2025-05</v>
      </c>
      <c r="H511" s="10">
        <f>VLOOKUP(B511, Price_List!$A$3:$C$62, 2, FALSE)</f>
        <v>200</v>
      </c>
      <c r="I511" s="10">
        <f>VLOOKUP(B511, Price_List!$A$3:$C$62, 3, FALSE)</f>
        <v>300</v>
      </c>
      <c r="J511" s="10" t="str">
        <f t="shared" si="29"/>
        <v>Above Max</v>
      </c>
      <c r="K511" s="10">
        <f t="shared" si="30"/>
        <v>0</v>
      </c>
    </row>
    <row r="512" spans="1:11" ht="15.6" x14ac:dyDescent="0.3">
      <c r="A512" s="9">
        <v>45788</v>
      </c>
      <c r="B512" s="3" t="s">
        <v>86</v>
      </c>
      <c r="C512" s="13">
        <v>1400</v>
      </c>
      <c r="D512" s="3" t="s">
        <v>8</v>
      </c>
      <c r="E512" s="3" t="s">
        <v>7</v>
      </c>
      <c r="F512" s="10" t="str">
        <f t="shared" si="31"/>
        <v>May-2025</v>
      </c>
      <c r="G512" t="str">
        <f t="shared" si="28"/>
        <v>2025-05</v>
      </c>
      <c r="H512" s="10">
        <f>VLOOKUP(B512, Price_List!$A$3:$C$62, 2, FALSE)</f>
        <v>1000</v>
      </c>
      <c r="I512" s="10">
        <f>VLOOKUP(B512, Price_List!$A$3:$C$62, 3, FALSE)</f>
        <v>2000</v>
      </c>
      <c r="J512" s="10" t="str">
        <f t="shared" si="29"/>
        <v>Within Range</v>
      </c>
      <c r="K512" s="10">
        <f t="shared" si="30"/>
        <v>0</v>
      </c>
    </row>
    <row r="513" spans="1:11" ht="15.6" x14ac:dyDescent="0.3">
      <c r="A513" s="9">
        <v>45787</v>
      </c>
      <c r="B513" s="3" t="s">
        <v>122</v>
      </c>
      <c r="C513" s="13">
        <v>1700</v>
      </c>
      <c r="D513" s="3" t="s">
        <v>8</v>
      </c>
      <c r="E513" s="3" t="s">
        <v>60</v>
      </c>
      <c r="F513" s="10" t="str">
        <f t="shared" si="31"/>
        <v>May-2025</v>
      </c>
      <c r="G513" t="str">
        <f t="shared" si="28"/>
        <v>2025-05</v>
      </c>
      <c r="H513" s="10">
        <f>VLOOKUP(B513, Price_List!$A$3:$C$62, 2, FALSE)</f>
        <v>1000</v>
      </c>
      <c r="I513" s="10">
        <f>VLOOKUP(B513, Price_List!$A$3:$C$62, 3, FALSE)</f>
        <v>6000</v>
      </c>
      <c r="J513" s="10" t="str">
        <f t="shared" si="29"/>
        <v>Within Range</v>
      </c>
      <c r="K513" s="10">
        <f t="shared" si="30"/>
        <v>0</v>
      </c>
    </row>
    <row r="514" spans="1:11" ht="15.6" x14ac:dyDescent="0.3">
      <c r="A514" s="9">
        <v>45788</v>
      </c>
      <c r="B514" s="3" t="s">
        <v>119</v>
      </c>
      <c r="C514" s="13">
        <v>300</v>
      </c>
      <c r="D514" s="3" t="s">
        <v>8</v>
      </c>
      <c r="E514" s="3" t="s">
        <v>60</v>
      </c>
      <c r="F514" s="10" t="str">
        <f t="shared" si="31"/>
        <v>May-2025</v>
      </c>
      <c r="G514" t="str">
        <f t="shared" si="28"/>
        <v>2025-05</v>
      </c>
      <c r="H514" s="10">
        <f>VLOOKUP(B514, Price_List!$A$3:$C$62, 2, FALSE)</f>
        <v>200</v>
      </c>
      <c r="I514" s="10">
        <f>VLOOKUP(B514, Price_List!$A$3:$C$62, 3, FALSE)</f>
        <v>300</v>
      </c>
      <c r="J514" s="10" t="str">
        <f t="shared" si="29"/>
        <v>Within Range</v>
      </c>
      <c r="K514" s="10">
        <f t="shared" si="30"/>
        <v>0</v>
      </c>
    </row>
    <row r="515" spans="1:11" ht="15.6" x14ac:dyDescent="0.3">
      <c r="A515" s="9">
        <v>45789</v>
      </c>
      <c r="B515" s="15" t="s">
        <v>117</v>
      </c>
      <c r="C515" s="13">
        <v>800</v>
      </c>
      <c r="D515" s="3" t="s">
        <v>8</v>
      </c>
      <c r="E515" s="3" t="s">
        <v>7</v>
      </c>
      <c r="F515" s="10" t="str">
        <f t="shared" si="31"/>
        <v>May-2025</v>
      </c>
      <c r="G515" t="str">
        <f t="shared" ref="G515:G578" si="32">TEXT(A515,"yyyy-mm")</f>
        <v>2025-05</v>
      </c>
      <c r="H515" s="10">
        <f>VLOOKUP(B515, Price_List!$A$3:$C$62, 2, FALSE)</f>
        <v>800</v>
      </c>
      <c r="I515" s="10">
        <f>VLOOKUP(B515, Price_List!$A$3:$C$62, 3, FALSE)</f>
        <v>800</v>
      </c>
      <c r="J515" s="10" t="str">
        <f t="shared" ref="J515:J578" si="33">IF(C515 &lt; H515, "Below Min(Bargain)", IF(C515 &gt; I515, "Above Max", "Within Range"))</f>
        <v>Within Range</v>
      </c>
      <c r="K515" s="10">
        <f t="shared" ref="K515:K578" si="34">IF(C515 &lt; H515, H515 - C515, 0)</f>
        <v>0</v>
      </c>
    </row>
    <row r="516" spans="1:11" ht="15.6" x14ac:dyDescent="0.3">
      <c r="A516" s="9">
        <v>45789</v>
      </c>
      <c r="B516" s="15" t="s">
        <v>112</v>
      </c>
      <c r="C516" s="13">
        <v>800</v>
      </c>
      <c r="D516" s="3" t="s">
        <v>8</v>
      </c>
      <c r="E516" s="3" t="s">
        <v>7</v>
      </c>
      <c r="F516" s="10" t="str">
        <f t="shared" ref="F516:F579" si="35">TEXT(A516, "mmm-yyyy")</f>
        <v>May-2025</v>
      </c>
      <c r="G516" t="str">
        <f t="shared" si="32"/>
        <v>2025-05</v>
      </c>
      <c r="H516" s="10">
        <f>VLOOKUP(B516, Price_List!$A$3:$C$62, 2, FALSE)</f>
        <v>700</v>
      </c>
      <c r="I516" s="10">
        <f>VLOOKUP(B516, Price_List!$A$3:$C$62, 3, FALSE)</f>
        <v>700</v>
      </c>
      <c r="J516" s="10" t="str">
        <f t="shared" si="33"/>
        <v>Above Max</v>
      </c>
      <c r="K516" s="10">
        <f t="shared" si="34"/>
        <v>0</v>
      </c>
    </row>
    <row r="517" spans="1:11" ht="15.6" x14ac:dyDescent="0.3">
      <c r="A517" s="9">
        <v>45788</v>
      </c>
      <c r="B517" s="3" t="s">
        <v>126</v>
      </c>
      <c r="C517" s="13">
        <v>120</v>
      </c>
      <c r="D517" s="3" t="s">
        <v>8</v>
      </c>
      <c r="E517" s="3" t="s">
        <v>60</v>
      </c>
      <c r="F517" s="10" t="str">
        <f t="shared" si="35"/>
        <v>May-2025</v>
      </c>
      <c r="G517" t="str">
        <f t="shared" si="32"/>
        <v>2025-05</v>
      </c>
      <c r="H517" s="10">
        <f>VLOOKUP(B517, Price_List!$A$3:$C$62, 2, FALSE)</f>
        <v>30</v>
      </c>
      <c r="I517" s="10">
        <f>VLOOKUP(B517, Price_List!$A$3:$C$62, 3, FALSE)</f>
        <v>40</v>
      </c>
      <c r="J517" s="10" t="str">
        <f t="shared" si="33"/>
        <v>Above Max</v>
      </c>
      <c r="K517" s="10">
        <f t="shared" si="34"/>
        <v>0</v>
      </c>
    </row>
    <row r="518" spans="1:11" ht="15.6" x14ac:dyDescent="0.3">
      <c r="A518" s="9">
        <v>45791</v>
      </c>
      <c r="B518" s="3" t="s">
        <v>36</v>
      </c>
      <c r="C518" s="13">
        <v>120</v>
      </c>
      <c r="D518" s="3" t="s">
        <v>8</v>
      </c>
      <c r="E518" s="3" t="s">
        <v>7</v>
      </c>
      <c r="F518" s="10" t="str">
        <f t="shared" si="35"/>
        <v>May-2025</v>
      </c>
      <c r="G518" t="str">
        <f t="shared" si="32"/>
        <v>2025-05</v>
      </c>
      <c r="H518" s="10">
        <f>VLOOKUP(B518, Price_List!$A$3:$C$62, 2, FALSE)</f>
        <v>70</v>
      </c>
      <c r="I518" s="10">
        <f>VLOOKUP(B518, Price_List!$A$3:$C$62, 3, FALSE)</f>
        <v>140</v>
      </c>
      <c r="J518" s="10" t="str">
        <f t="shared" si="33"/>
        <v>Within Range</v>
      </c>
      <c r="K518" s="10">
        <f t="shared" si="34"/>
        <v>0</v>
      </c>
    </row>
    <row r="519" spans="1:11" ht="15.6" x14ac:dyDescent="0.3">
      <c r="A519" s="9">
        <v>45792</v>
      </c>
      <c r="B519" s="3" t="s">
        <v>20</v>
      </c>
      <c r="C519" s="13">
        <v>900</v>
      </c>
      <c r="D519" s="3" t="s">
        <v>8</v>
      </c>
      <c r="E519" s="3" t="s">
        <v>7</v>
      </c>
      <c r="F519" s="10" t="str">
        <f t="shared" si="35"/>
        <v>May-2025</v>
      </c>
      <c r="G519" t="str">
        <f t="shared" si="32"/>
        <v>2025-05</v>
      </c>
      <c r="H519" s="10">
        <f>VLOOKUP(B519, Price_List!$A$3:$C$62, 2, FALSE)</f>
        <v>1000</v>
      </c>
      <c r="I519" s="10">
        <f>VLOOKUP(B519, Price_List!$A$3:$C$62, 3, FALSE)</f>
        <v>1000</v>
      </c>
      <c r="J519" s="10" t="str">
        <f t="shared" si="33"/>
        <v>Below Min(Bargain)</v>
      </c>
      <c r="K519" s="10">
        <f t="shared" si="34"/>
        <v>100</v>
      </c>
    </row>
    <row r="520" spans="1:11" ht="15.6" x14ac:dyDescent="0.3">
      <c r="A520" s="9">
        <v>45789</v>
      </c>
      <c r="B520" s="3" t="s">
        <v>59</v>
      </c>
      <c r="C520" s="13">
        <v>40</v>
      </c>
      <c r="D520" s="3" t="s">
        <v>8</v>
      </c>
      <c r="E520" s="3" t="s">
        <v>60</v>
      </c>
      <c r="F520" s="10" t="str">
        <f t="shared" si="35"/>
        <v>May-2025</v>
      </c>
      <c r="G520" t="str">
        <f t="shared" si="32"/>
        <v>2025-05</v>
      </c>
      <c r="H520" s="10">
        <f>VLOOKUP(B520, Price_List!$A$3:$C$62, 2, FALSE)</f>
        <v>50</v>
      </c>
      <c r="I520" s="10">
        <f>VLOOKUP(B520, Price_List!$A$3:$C$62, 3, FALSE)</f>
        <v>150</v>
      </c>
      <c r="J520" s="10" t="str">
        <f t="shared" si="33"/>
        <v>Below Min(Bargain)</v>
      </c>
      <c r="K520" s="10">
        <f t="shared" si="34"/>
        <v>10</v>
      </c>
    </row>
    <row r="521" spans="1:11" ht="15.6" x14ac:dyDescent="0.3">
      <c r="A521" s="9">
        <v>45793</v>
      </c>
      <c r="B521" s="3" t="s">
        <v>31</v>
      </c>
      <c r="C521" s="13">
        <v>1300</v>
      </c>
      <c r="D521" s="3" t="s">
        <v>8</v>
      </c>
      <c r="E521" s="3" t="s">
        <v>7</v>
      </c>
      <c r="F521" s="10" t="str">
        <f t="shared" si="35"/>
        <v>May-2025</v>
      </c>
      <c r="G521" t="str">
        <f t="shared" si="32"/>
        <v>2025-05</v>
      </c>
      <c r="H521" s="10">
        <f>VLOOKUP(B521, Price_List!$A$3:$C$62, 2, FALSE)</f>
        <v>1000</v>
      </c>
      <c r="I521" s="10">
        <f>VLOOKUP(B521, Price_List!$A$3:$C$62, 3, FALSE)</f>
        <v>1000</v>
      </c>
      <c r="J521" s="10" t="str">
        <f t="shared" si="33"/>
        <v>Above Max</v>
      </c>
      <c r="K521" s="10">
        <f t="shared" si="34"/>
        <v>0</v>
      </c>
    </row>
    <row r="522" spans="1:11" ht="15.6" x14ac:dyDescent="0.3">
      <c r="A522" s="9">
        <v>45793</v>
      </c>
      <c r="B522" s="15" t="s">
        <v>120</v>
      </c>
      <c r="C522" s="13">
        <v>1000</v>
      </c>
      <c r="D522" s="3" t="s">
        <v>8</v>
      </c>
      <c r="E522" s="3" t="s">
        <v>7</v>
      </c>
      <c r="F522" s="10" t="str">
        <f t="shared" si="35"/>
        <v>May-2025</v>
      </c>
      <c r="G522" t="str">
        <f t="shared" si="32"/>
        <v>2025-05</v>
      </c>
      <c r="H522" s="10">
        <f>VLOOKUP(B522, Price_List!$A$3:$C$62, 2, FALSE)</f>
        <v>1000</v>
      </c>
      <c r="I522" s="10">
        <f>VLOOKUP(B522, Price_List!$A$3:$C$62, 3, FALSE)</f>
        <v>1000</v>
      </c>
      <c r="J522" s="10" t="str">
        <f t="shared" si="33"/>
        <v>Within Range</v>
      </c>
      <c r="K522" s="10">
        <f t="shared" si="34"/>
        <v>0</v>
      </c>
    </row>
    <row r="523" spans="1:11" ht="15.6" x14ac:dyDescent="0.3">
      <c r="A523" s="9">
        <v>45792</v>
      </c>
      <c r="B523" s="3" t="s">
        <v>59</v>
      </c>
      <c r="C523" s="13">
        <v>200</v>
      </c>
      <c r="D523" s="3" t="s">
        <v>8</v>
      </c>
      <c r="E523" s="3" t="s">
        <v>60</v>
      </c>
      <c r="F523" s="10" t="str">
        <f t="shared" si="35"/>
        <v>May-2025</v>
      </c>
      <c r="G523" t="str">
        <f t="shared" si="32"/>
        <v>2025-05</v>
      </c>
      <c r="H523" s="10">
        <f>VLOOKUP(B523, Price_List!$A$3:$C$62, 2, FALSE)</f>
        <v>50</v>
      </c>
      <c r="I523" s="10">
        <f>VLOOKUP(B523, Price_List!$A$3:$C$62, 3, FALSE)</f>
        <v>150</v>
      </c>
      <c r="J523" s="10" t="str">
        <f t="shared" si="33"/>
        <v>Above Max</v>
      </c>
      <c r="K523" s="10">
        <f t="shared" si="34"/>
        <v>0</v>
      </c>
    </row>
    <row r="524" spans="1:11" ht="15.6" x14ac:dyDescent="0.3">
      <c r="A524" s="9">
        <v>45795</v>
      </c>
      <c r="B524" s="3" t="s">
        <v>36</v>
      </c>
      <c r="C524" s="13">
        <v>120</v>
      </c>
      <c r="D524" s="3" t="s">
        <v>8</v>
      </c>
      <c r="E524" s="3" t="s">
        <v>7</v>
      </c>
      <c r="F524" s="10" t="str">
        <f t="shared" si="35"/>
        <v>May-2025</v>
      </c>
      <c r="G524" t="str">
        <f t="shared" si="32"/>
        <v>2025-05</v>
      </c>
      <c r="H524" s="10">
        <f>VLOOKUP(B524, Price_List!$A$3:$C$62, 2, FALSE)</f>
        <v>70</v>
      </c>
      <c r="I524" s="10">
        <f>VLOOKUP(B524, Price_List!$A$3:$C$62, 3, FALSE)</f>
        <v>140</v>
      </c>
      <c r="J524" s="10" t="str">
        <f t="shared" si="33"/>
        <v>Within Range</v>
      </c>
      <c r="K524" s="10">
        <f t="shared" si="34"/>
        <v>0</v>
      </c>
    </row>
    <row r="525" spans="1:11" ht="15.6" x14ac:dyDescent="0.3">
      <c r="A525" s="9">
        <v>45793</v>
      </c>
      <c r="B525" s="3" t="s">
        <v>59</v>
      </c>
      <c r="C525" s="13">
        <v>120</v>
      </c>
      <c r="D525" s="3" t="s">
        <v>6</v>
      </c>
      <c r="E525" s="3" t="s">
        <v>60</v>
      </c>
      <c r="F525" s="10" t="str">
        <f t="shared" si="35"/>
        <v>May-2025</v>
      </c>
      <c r="G525" t="str">
        <f t="shared" si="32"/>
        <v>2025-05</v>
      </c>
      <c r="H525" s="10">
        <f>VLOOKUP(B525, Price_List!$A$3:$C$62, 2, FALSE)</f>
        <v>50</v>
      </c>
      <c r="I525" s="10">
        <f>VLOOKUP(B525, Price_List!$A$3:$C$62, 3, FALSE)</f>
        <v>150</v>
      </c>
      <c r="J525" s="10" t="str">
        <f t="shared" si="33"/>
        <v>Within Range</v>
      </c>
      <c r="K525" s="10">
        <f t="shared" si="34"/>
        <v>0</v>
      </c>
    </row>
    <row r="526" spans="1:11" ht="15.6" x14ac:dyDescent="0.3">
      <c r="A526" s="9">
        <v>45795</v>
      </c>
      <c r="B526" s="3" t="s">
        <v>126</v>
      </c>
      <c r="C526" s="13">
        <v>40</v>
      </c>
      <c r="D526" s="3" t="s">
        <v>8</v>
      </c>
      <c r="E526" s="3" t="s">
        <v>60</v>
      </c>
      <c r="F526" s="10" t="str">
        <f t="shared" si="35"/>
        <v>May-2025</v>
      </c>
      <c r="G526" t="str">
        <f t="shared" si="32"/>
        <v>2025-05</v>
      </c>
      <c r="H526" s="10">
        <f>VLOOKUP(B526, Price_List!$A$3:$C$62, 2, FALSE)</f>
        <v>30</v>
      </c>
      <c r="I526" s="10">
        <f>VLOOKUP(B526, Price_List!$A$3:$C$62, 3, FALSE)</f>
        <v>40</v>
      </c>
      <c r="J526" s="10" t="str">
        <f t="shared" si="33"/>
        <v>Within Range</v>
      </c>
      <c r="K526" s="10">
        <f t="shared" si="34"/>
        <v>0</v>
      </c>
    </row>
    <row r="527" spans="1:11" ht="15.6" x14ac:dyDescent="0.3">
      <c r="A527" s="9">
        <v>45795</v>
      </c>
      <c r="B527" s="3" t="s">
        <v>124</v>
      </c>
      <c r="C527" s="13">
        <v>500</v>
      </c>
      <c r="D527" s="3" t="s">
        <v>8</v>
      </c>
      <c r="E527" s="3" t="s">
        <v>60</v>
      </c>
      <c r="F527" s="10" t="str">
        <f t="shared" si="35"/>
        <v>May-2025</v>
      </c>
      <c r="G527" t="str">
        <f t="shared" si="32"/>
        <v>2025-05</v>
      </c>
      <c r="H527" s="10">
        <f>VLOOKUP(B527, Price_List!$A$3:$C$62, 2, FALSE)</f>
        <v>500</v>
      </c>
      <c r="I527" s="10">
        <f>VLOOKUP(B527, Price_List!$A$3:$C$62, 3, FALSE)</f>
        <v>500</v>
      </c>
      <c r="J527" s="10" t="str">
        <f t="shared" si="33"/>
        <v>Within Range</v>
      </c>
      <c r="K527" s="10">
        <f t="shared" si="34"/>
        <v>0</v>
      </c>
    </row>
    <row r="528" spans="1:11" ht="15.6" x14ac:dyDescent="0.3">
      <c r="A528" s="9">
        <v>45795</v>
      </c>
      <c r="B528" s="3" t="s">
        <v>123</v>
      </c>
      <c r="C528" s="13">
        <v>200</v>
      </c>
      <c r="D528" s="3" t="s">
        <v>8</v>
      </c>
      <c r="E528" s="3" t="s">
        <v>60</v>
      </c>
      <c r="F528" s="10" t="str">
        <f t="shared" si="35"/>
        <v>May-2025</v>
      </c>
      <c r="G528" t="str">
        <f t="shared" si="32"/>
        <v>2025-05</v>
      </c>
      <c r="H528" s="10">
        <f>VLOOKUP(B528, Price_List!$A$3:$C$62, 2, FALSE)</f>
        <v>200</v>
      </c>
      <c r="I528" s="10">
        <f>VLOOKUP(B528, Price_List!$A$3:$C$62, 3, FALSE)</f>
        <v>500</v>
      </c>
      <c r="J528" s="10" t="str">
        <f t="shared" si="33"/>
        <v>Within Range</v>
      </c>
      <c r="K528" s="10">
        <f t="shared" si="34"/>
        <v>0</v>
      </c>
    </row>
    <row r="529" spans="1:11" ht="15.6" x14ac:dyDescent="0.3">
      <c r="A529" s="9">
        <v>45796</v>
      </c>
      <c r="B529" s="3" t="s">
        <v>5</v>
      </c>
      <c r="C529" s="13">
        <v>60</v>
      </c>
      <c r="D529" s="3" t="s">
        <v>6</v>
      </c>
      <c r="E529" s="3" t="s">
        <v>7</v>
      </c>
      <c r="F529" s="10" t="str">
        <f t="shared" si="35"/>
        <v>May-2025</v>
      </c>
      <c r="G529" t="str">
        <f t="shared" si="32"/>
        <v>2025-05</v>
      </c>
      <c r="H529" s="10">
        <f>VLOOKUP(B529, Price_List!$A$3:$C$62, 2, FALSE)</f>
        <v>60</v>
      </c>
      <c r="I529" s="10">
        <f>VLOOKUP(B529, Price_List!$A$3:$C$62, 3, FALSE)</f>
        <v>70</v>
      </c>
      <c r="J529" s="10" t="str">
        <f t="shared" si="33"/>
        <v>Within Range</v>
      </c>
      <c r="K529" s="10">
        <f t="shared" si="34"/>
        <v>0</v>
      </c>
    </row>
    <row r="530" spans="1:11" ht="15.6" x14ac:dyDescent="0.3">
      <c r="A530" s="9">
        <v>45796</v>
      </c>
      <c r="B530" s="15" t="s">
        <v>19</v>
      </c>
      <c r="C530" s="13">
        <v>300</v>
      </c>
      <c r="D530" s="3" t="s">
        <v>6</v>
      </c>
      <c r="E530" s="3" t="s">
        <v>7</v>
      </c>
      <c r="F530" s="10" t="str">
        <f t="shared" si="35"/>
        <v>May-2025</v>
      </c>
      <c r="G530" t="str">
        <f t="shared" si="32"/>
        <v>2025-05</v>
      </c>
      <c r="H530" s="10">
        <f>VLOOKUP(B530, Price_List!$A$3:$C$62, 2, FALSE)</f>
        <v>300</v>
      </c>
      <c r="I530" s="10">
        <f>VLOOKUP(B530, Price_List!$A$3:$C$62, 3, FALSE)</f>
        <v>300</v>
      </c>
      <c r="J530" s="10" t="str">
        <f t="shared" si="33"/>
        <v>Within Range</v>
      </c>
      <c r="K530" s="10">
        <f t="shared" si="34"/>
        <v>0</v>
      </c>
    </row>
    <row r="531" spans="1:11" ht="15.6" x14ac:dyDescent="0.3">
      <c r="A531" s="9">
        <v>45795</v>
      </c>
      <c r="B531" s="3" t="s">
        <v>119</v>
      </c>
      <c r="C531" s="13">
        <v>200</v>
      </c>
      <c r="D531" s="3" t="s">
        <v>8</v>
      </c>
      <c r="E531" s="3" t="s">
        <v>60</v>
      </c>
      <c r="F531" s="10" t="str">
        <f t="shared" si="35"/>
        <v>May-2025</v>
      </c>
      <c r="G531" t="str">
        <f t="shared" si="32"/>
        <v>2025-05</v>
      </c>
      <c r="H531" s="10">
        <f>VLOOKUP(B531, Price_List!$A$3:$C$62, 2, FALSE)</f>
        <v>200</v>
      </c>
      <c r="I531" s="10">
        <f>VLOOKUP(B531, Price_List!$A$3:$C$62, 3, FALSE)</f>
        <v>300</v>
      </c>
      <c r="J531" s="10" t="str">
        <f t="shared" si="33"/>
        <v>Within Range</v>
      </c>
      <c r="K531" s="10">
        <f t="shared" si="34"/>
        <v>0</v>
      </c>
    </row>
    <row r="532" spans="1:11" ht="15.6" x14ac:dyDescent="0.3">
      <c r="A532" s="9">
        <v>45796</v>
      </c>
      <c r="B532" s="3" t="s">
        <v>78</v>
      </c>
      <c r="C532" s="13">
        <v>300</v>
      </c>
      <c r="D532" s="3" t="s">
        <v>8</v>
      </c>
      <c r="E532" s="3" t="s">
        <v>60</v>
      </c>
      <c r="F532" s="10" t="str">
        <f t="shared" si="35"/>
        <v>May-2025</v>
      </c>
      <c r="G532" t="str">
        <f t="shared" si="32"/>
        <v>2025-05</v>
      </c>
      <c r="H532" s="10">
        <f>VLOOKUP(B532, Price_List!$A$3:$C$62, 2, FALSE)</f>
        <v>300</v>
      </c>
      <c r="I532" s="10">
        <f>VLOOKUP(B532, Price_List!$A$3:$C$62, 3, FALSE)</f>
        <v>500</v>
      </c>
      <c r="J532" s="10" t="str">
        <f t="shared" si="33"/>
        <v>Within Range</v>
      </c>
      <c r="K532" s="10">
        <f t="shared" si="34"/>
        <v>0</v>
      </c>
    </row>
    <row r="533" spans="1:11" ht="15.6" x14ac:dyDescent="0.3">
      <c r="A533" s="9">
        <v>45797</v>
      </c>
      <c r="B533" s="3" t="s">
        <v>14</v>
      </c>
      <c r="C533" s="13">
        <v>1000</v>
      </c>
      <c r="D533" s="3" t="s">
        <v>8</v>
      </c>
      <c r="E533" s="3" t="s">
        <v>7</v>
      </c>
      <c r="F533" s="10" t="str">
        <f t="shared" si="35"/>
        <v>May-2025</v>
      </c>
      <c r="G533" t="str">
        <f t="shared" si="32"/>
        <v>2025-05</v>
      </c>
      <c r="H533" s="10">
        <f>VLOOKUP(B533, Price_List!$A$3:$C$62, 2, FALSE)</f>
        <v>800</v>
      </c>
      <c r="I533" s="10">
        <f>VLOOKUP(B533, Price_List!$A$3:$C$62, 3, FALSE)</f>
        <v>1000</v>
      </c>
      <c r="J533" s="10" t="str">
        <f t="shared" si="33"/>
        <v>Within Range</v>
      </c>
      <c r="K533" s="10">
        <f t="shared" si="34"/>
        <v>0</v>
      </c>
    </row>
    <row r="534" spans="1:11" ht="15.6" x14ac:dyDescent="0.3">
      <c r="A534" s="9">
        <v>45797</v>
      </c>
      <c r="B534" s="15" t="s">
        <v>120</v>
      </c>
      <c r="C534" s="13">
        <v>1000</v>
      </c>
      <c r="D534" s="3" t="s">
        <v>8</v>
      </c>
      <c r="E534" s="3" t="s">
        <v>7</v>
      </c>
      <c r="F534" s="10" t="str">
        <f t="shared" si="35"/>
        <v>May-2025</v>
      </c>
      <c r="G534" t="str">
        <f t="shared" si="32"/>
        <v>2025-05</v>
      </c>
      <c r="H534" s="10">
        <f>VLOOKUP(B534, Price_List!$A$3:$C$62, 2, FALSE)</f>
        <v>1000</v>
      </c>
      <c r="I534" s="10">
        <f>VLOOKUP(B534, Price_List!$A$3:$C$62, 3, FALSE)</f>
        <v>1000</v>
      </c>
      <c r="J534" s="10" t="str">
        <f t="shared" si="33"/>
        <v>Within Range</v>
      </c>
      <c r="K534" s="10">
        <f t="shared" si="34"/>
        <v>0</v>
      </c>
    </row>
    <row r="535" spans="1:11" ht="15.6" x14ac:dyDescent="0.3">
      <c r="A535" s="9">
        <v>45796</v>
      </c>
      <c r="B535" s="3" t="s">
        <v>78</v>
      </c>
      <c r="C535" s="13">
        <v>300</v>
      </c>
      <c r="D535" s="3" t="s">
        <v>8</v>
      </c>
      <c r="E535" s="3" t="s">
        <v>60</v>
      </c>
      <c r="F535" s="10" t="str">
        <f t="shared" si="35"/>
        <v>May-2025</v>
      </c>
      <c r="G535" t="str">
        <f t="shared" si="32"/>
        <v>2025-05</v>
      </c>
      <c r="H535" s="10">
        <f>VLOOKUP(B535, Price_List!$A$3:$C$62, 2, FALSE)</f>
        <v>300</v>
      </c>
      <c r="I535" s="10">
        <f>VLOOKUP(B535, Price_List!$A$3:$C$62, 3, FALSE)</f>
        <v>500</v>
      </c>
      <c r="J535" s="10" t="str">
        <f t="shared" si="33"/>
        <v>Within Range</v>
      </c>
      <c r="K535" s="10">
        <f t="shared" si="34"/>
        <v>0</v>
      </c>
    </row>
    <row r="536" spans="1:11" ht="15.6" x14ac:dyDescent="0.3">
      <c r="A536" s="9">
        <v>45799</v>
      </c>
      <c r="B536" s="3" t="s">
        <v>5</v>
      </c>
      <c r="C536" s="13">
        <v>60</v>
      </c>
      <c r="D536" s="3" t="s">
        <v>6</v>
      </c>
      <c r="E536" s="3" t="s">
        <v>7</v>
      </c>
      <c r="F536" s="10" t="str">
        <f t="shared" si="35"/>
        <v>May-2025</v>
      </c>
      <c r="G536" t="str">
        <f t="shared" si="32"/>
        <v>2025-05</v>
      </c>
      <c r="H536" s="10">
        <f>VLOOKUP(B536, Price_List!$A$3:$C$62, 2, FALSE)</f>
        <v>60</v>
      </c>
      <c r="I536" s="10">
        <f>VLOOKUP(B536, Price_List!$A$3:$C$62, 3, FALSE)</f>
        <v>70</v>
      </c>
      <c r="J536" s="10" t="str">
        <f t="shared" si="33"/>
        <v>Within Range</v>
      </c>
      <c r="K536" s="10">
        <f t="shared" si="34"/>
        <v>0</v>
      </c>
    </row>
    <row r="537" spans="1:11" ht="15.6" x14ac:dyDescent="0.3">
      <c r="A537" s="9">
        <v>45800</v>
      </c>
      <c r="B537" s="3" t="s">
        <v>36</v>
      </c>
      <c r="C537" s="13">
        <v>120</v>
      </c>
      <c r="D537" s="3" t="s">
        <v>8</v>
      </c>
      <c r="E537" s="3" t="s">
        <v>7</v>
      </c>
      <c r="F537" s="10" t="str">
        <f t="shared" si="35"/>
        <v>May-2025</v>
      </c>
      <c r="G537" t="str">
        <f t="shared" si="32"/>
        <v>2025-05</v>
      </c>
      <c r="H537" s="10">
        <f>VLOOKUP(B537, Price_List!$A$3:$C$62, 2, FALSE)</f>
        <v>70</v>
      </c>
      <c r="I537" s="10">
        <f>VLOOKUP(B537, Price_List!$A$3:$C$62, 3, FALSE)</f>
        <v>140</v>
      </c>
      <c r="J537" s="10" t="str">
        <f t="shared" si="33"/>
        <v>Within Range</v>
      </c>
      <c r="K537" s="10">
        <f t="shared" si="34"/>
        <v>0</v>
      </c>
    </row>
    <row r="538" spans="1:11" ht="15.6" x14ac:dyDescent="0.3">
      <c r="A538" s="9">
        <v>45800</v>
      </c>
      <c r="B538" s="3" t="s">
        <v>14</v>
      </c>
      <c r="C538" s="13">
        <v>700</v>
      </c>
      <c r="D538" s="3" t="s">
        <v>8</v>
      </c>
      <c r="E538" s="3" t="s">
        <v>7</v>
      </c>
      <c r="F538" s="10" t="str">
        <f t="shared" si="35"/>
        <v>May-2025</v>
      </c>
      <c r="G538" t="str">
        <f t="shared" si="32"/>
        <v>2025-05</v>
      </c>
      <c r="H538" s="10">
        <f>VLOOKUP(B538, Price_List!$A$3:$C$62, 2, FALSE)</f>
        <v>800</v>
      </c>
      <c r="I538" s="10">
        <f>VLOOKUP(B538, Price_List!$A$3:$C$62, 3, FALSE)</f>
        <v>1000</v>
      </c>
      <c r="J538" s="10" t="str">
        <f t="shared" si="33"/>
        <v>Below Min(Bargain)</v>
      </c>
      <c r="K538" s="10">
        <f t="shared" si="34"/>
        <v>100</v>
      </c>
    </row>
    <row r="539" spans="1:11" ht="15.6" x14ac:dyDescent="0.3">
      <c r="A539" s="9">
        <v>45802</v>
      </c>
      <c r="B539" s="3" t="s">
        <v>5</v>
      </c>
      <c r="C539" s="13">
        <v>60</v>
      </c>
      <c r="D539" s="3" t="s">
        <v>8</v>
      </c>
      <c r="E539" s="3" t="s">
        <v>7</v>
      </c>
      <c r="F539" s="10" t="str">
        <f t="shared" si="35"/>
        <v>May-2025</v>
      </c>
      <c r="G539" t="str">
        <f t="shared" si="32"/>
        <v>2025-05</v>
      </c>
      <c r="H539" s="10">
        <f>VLOOKUP(B539, Price_List!$A$3:$C$62, 2, FALSE)</f>
        <v>60</v>
      </c>
      <c r="I539" s="10">
        <f>VLOOKUP(B539, Price_List!$A$3:$C$62, 3, FALSE)</f>
        <v>70</v>
      </c>
      <c r="J539" s="10" t="str">
        <f t="shared" si="33"/>
        <v>Within Range</v>
      </c>
      <c r="K539" s="10">
        <f t="shared" si="34"/>
        <v>0</v>
      </c>
    </row>
    <row r="540" spans="1:11" ht="15.6" x14ac:dyDescent="0.3">
      <c r="A540" s="9">
        <v>45803</v>
      </c>
      <c r="B540" s="15" t="s">
        <v>105</v>
      </c>
      <c r="C540" s="13">
        <v>1100</v>
      </c>
      <c r="D540" s="3" t="s">
        <v>8</v>
      </c>
      <c r="E540" s="3" t="s">
        <v>7</v>
      </c>
      <c r="F540" s="10" t="str">
        <f t="shared" si="35"/>
        <v>May-2025</v>
      </c>
      <c r="G540" t="str">
        <f t="shared" si="32"/>
        <v>2025-05</v>
      </c>
      <c r="H540" s="10">
        <f>VLOOKUP(B540, Price_List!$A$3:$C$62, 2, FALSE)</f>
        <v>1100</v>
      </c>
      <c r="I540" s="10">
        <f>VLOOKUP(B540, Price_List!$A$3:$C$62, 3, FALSE)</f>
        <v>1100</v>
      </c>
      <c r="J540" s="10" t="str">
        <f t="shared" si="33"/>
        <v>Within Range</v>
      </c>
      <c r="K540" s="10">
        <f t="shared" si="34"/>
        <v>0</v>
      </c>
    </row>
    <row r="541" spans="1:11" ht="15.6" x14ac:dyDescent="0.3">
      <c r="A541" s="9">
        <v>45804</v>
      </c>
      <c r="B541" s="3" t="s">
        <v>14</v>
      </c>
      <c r="C541" s="13">
        <v>700</v>
      </c>
      <c r="D541" s="3" t="s">
        <v>8</v>
      </c>
      <c r="E541" s="3" t="s">
        <v>7</v>
      </c>
      <c r="F541" s="10" t="str">
        <f t="shared" si="35"/>
        <v>May-2025</v>
      </c>
      <c r="G541" t="str">
        <f t="shared" si="32"/>
        <v>2025-05</v>
      </c>
      <c r="H541" s="10">
        <f>VLOOKUP(B541, Price_List!$A$3:$C$62, 2, FALSE)</f>
        <v>800</v>
      </c>
      <c r="I541" s="10">
        <f>VLOOKUP(B541, Price_List!$A$3:$C$62, 3, FALSE)</f>
        <v>1000</v>
      </c>
      <c r="J541" s="10" t="str">
        <f t="shared" si="33"/>
        <v>Below Min(Bargain)</v>
      </c>
      <c r="K541" s="10">
        <f t="shared" si="34"/>
        <v>100</v>
      </c>
    </row>
    <row r="542" spans="1:11" ht="15.6" x14ac:dyDescent="0.3">
      <c r="A542" s="9">
        <v>45806</v>
      </c>
      <c r="B542" s="3" t="s">
        <v>5</v>
      </c>
      <c r="C542" s="13">
        <v>180</v>
      </c>
      <c r="D542" s="3" t="s">
        <v>8</v>
      </c>
      <c r="E542" s="3" t="s">
        <v>7</v>
      </c>
      <c r="F542" s="10" t="str">
        <f t="shared" si="35"/>
        <v>May-2025</v>
      </c>
      <c r="G542" t="str">
        <f t="shared" si="32"/>
        <v>2025-05</v>
      </c>
      <c r="H542" s="10">
        <f>VLOOKUP(B542, Price_List!$A$3:$C$62, 2, FALSE)</f>
        <v>60</v>
      </c>
      <c r="I542" s="10">
        <f>VLOOKUP(B542, Price_List!$A$3:$C$62, 3, FALSE)</f>
        <v>70</v>
      </c>
      <c r="J542" s="10" t="str">
        <f t="shared" si="33"/>
        <v>Above Max</v>
      </c>
      <c r="K542" s="10">
        <f t="shared" si="34"/>
        <v>0</v>
      </c>
    </row>
    <row r="543" spans="1:11" ht="15.6" x14ac:dyDescent="0.3">
      <c r="A543" s="9">
        <v>45797</v>
      </c>
      <c r="B543" s="3" t="s">
        <v>59</v>
      </c>
      <c r="C543" s="13">
        <v>150</v>
      </c>
      <c r="D543" s="3" t="s">
        <v>6</v>
      </c>
      <c r="E543" s="3" t="s">
        <v>60</v>
      </c>
      <c r="F543" s="10" t="str">
        <f t="shared" si="35"/>
        <v>May-2025</v>
      </c>
      <c r="G543" t="str">
        <f t="shared" si="32"/>
        <v>2025-05</v>
      </c>
      <c r="H543" s="10">
        <f>VLOOKUP(B543, Price_List!$A$3:$C$62, 2, FALSE)</f>
        <v>50</v>
      </c>
      <c r="I543" s="10">
        <f>VLOOKUP(B543, Price_List!$A$3:$C$62, 3, FALSE)</f>
        <v>150</v>
      </c>
      <c r="J543" s="10" t="str">
        <f t="shared" si="33"/>
        <v>Within Range</v>
      </c>
      <c r="K543" s="10">
        <f t="shared" si="34"/>
        <v>0</v>
      </c>
    </row>
    <row r="544" spans="1:11" ht="15.6" x14ac:dyDescent="0.3">
      <c r="A544" s="9">
        <v>45807</v>
      </c>
      <c r="B544" s="3" t="s">
        <v>59</v>
      </c>
      <c r="C544" s="13">
        <v>100</v>
      </c>
      <c r="D544" s="3" t="s">
        <v>8</v>
      </c>
      <c r="E544" s="3" t="s">
        <v>60</v>
      </c>
      <c r="F544" s="10" t="str">
        <f t="shared" si="35"/>
        <v>May-2025</v>
      </c>
      <c r="G544" t="str">
        <f t="shared" si="32"/>
        <v>2025-05</v>
      </c>
      <c r="H544" s="10">
        <f>VLOOKUP(B544, Price_List!$A$3:$C$62, 2, FALSE)</f>
        <v>50</v>
      </c>
      <c r="I544" s="10">
        <f>VLOOKUP(B544, Price_List!$A$3:$C$62, 3, FALSE)</f>
        <v>150</v>
      </c>
      <c r="J544" s="10" t="str">
        <f t="shared" si="33"/>
        <v>Within Range</v>
      </c>
      <c r="K544" s="10">
        <f t="shared" si="34"/>
        <v>0</v>
      </c>
    </row>
    <row r="545" spans="1:11" ht="15.6" x14ac:dyDescent="0.3">
      <c r="A545" s="9">
        <v>45809</v>
      </c>
      <c r="B545" s="3" t="s">
        <v>5</v>
      </c>
      <c r="C545" s="13">
        <v>180</v>
      </c>
      <c r="D545" s="3" t="s">
        <v>6</v>
      </c>
      <c r="E545" s="3" t="s">
        <v>7</v>
      </c>
      <c r="F545" s="10" t="str">
        <f t="shared" si="35"/>
        <v>Jun-2025</v>
      </c>
      <c r="G545" t="str">
        <f t="shared" si="32"/>
        <v>2025-06</v>
      </c>
      <c r="H545" s="10">
        <f>VLOOKUP(B545, Price_List!$A$3:$C$62, 2, FALSE)</f>
        <v>60</v>
      </c>
      <c r="I545" s="10">
        <f>VLOOKUP(B545, Price_List!$A$3:$C$62, 3, FALSE)</f>
        <v>70</v>
      </c>
      <c r="J545" s="10" t="str">
        <f t="shared" si="33"/>
        <v>Above Max</v>
      </c>
      <c r="K545" s="10">
        <f t="shared" si="34"/>
        <v>0</v>
      </c>
    </row>
    <row r="546" spans="1:11" ht="15.6" x14ac:dyDescent="0.3">
      <c r="A546" s="9">
        <v>45808</v>
      </c>
      <c r="B546" s="3" t="s">
        <v>59</v>
      </c>
      <c r="C546" s="13">
        <v>200</v>
      </c>
      <c r="D546" s="3" t="s">
        <v>8</v>
      </c>
      <c r="E546" s="3" t="s">
        <v>60</v>
      </c>
      <c r="F546" s="10" t="str">
        <f t="shared" si="35"/>
        <v>May-2025</v>
      </c>
      <c r="G546" t="str">
        <f t="shared" si="32"/>
        <v>2025-05</v>
      </c>
      <c r="H546" s="10">
        <f>VLOOKUP(B546, Price_List!$A$3:$C$62, 2, FALSE)</f>
        <v>50</v>
      </c>
      <c r="I546" s="10">
        <f>VLOOKUP(B546, Price_List!$A$3:$C$62, 3, FALSE)</f>
        <v>150</v>
      </c>
      <c r="J546" s="10" t="str">
        <f t="shared" si="33"/>
        <v>Above Max</v>
      </c>
      <c r="K546" s="10">
        <f t="shared" si="34"/>
        <v>0</v>
      </c>
    </row>
    <row r="547" spans="1:11" ht="15.6" x14ac:dyDescent="0.3">
      <c r="A547" s="9">
        <v>45811</v>
      </c>
      <c r="B547" s="3" t="s">
        <v>5</v>
      </c>
      <c r="C547" s="13">
        <v>50</v>
      </c>
      <c r="D547" s="3" t="s">
        <v>6</v>
      </c>
      <c r="E547" s="3" t="s">
        <v>7</v>
      </c>
      <c r="F547" s="10" t="str">
        <f t="shared" si="35"/>
        <v>Jun-2025</v>
      </c>
      <c r="G547" t="str">
        <f t="shared" si="32"/>
        <v>2025-06</v>
      </c>
      <c r="H547" s="10">
        <f>VLOOKUP(B547, Price_List!$A$3:$C$62, 2, FALSE)</f>
        <v>60</v>
      </c>
      <c r="I547" s="10">
        <f>VLOOKUP(B547, Price_List!$A$3:$C$62, 3, FALSE)</f>
        <v>70</v>
      </c>
      <c r="J547" s="10" t="str">
        <f t="shared" si="33"/>
        <v>Below Min(Bargain)</v>
      </c>
      <c r="K547" s="10">
        <f t="shared" si="34"/>
        <v>10</v>
      </c>
    </row>
    <row r="548" spans="1:11" ht="15.6" x14ac:dyDescent="0.3">
      <c r="A548" s="9">
        <v>45811</v>
      </c>
      <c r="B548" s="15" t="s">
        <v>105</v>
      </c>
      <c r="C548" s="13">
        <v>1200</v>
      </c>
      <c r="D548" s="3" t="s">
        <v>6</v>
      </c>
      <c r="E548" s="3" t="s">
        <v>7</v>
      </c>
      <c r="F548" s="10" t="str">
        <f t="shared" si="35"/>
        <v>Jun-2025</v>
      </c>
      <c r="G548" t="str">
        <f t="shared" si="32"/>
        <v>2025-06</v>
      </c>
      <c r="H548" s="10">
        <f>VLOOKUP(B548, Price_List!$A$3:$C$62, 2, FALSE)</f>
        <v>1100</v>
      </c>
      <c r="I548" s="10">
        <f>VLOOKUP(B548, Price_List!$A$3:$C$62, 3, FALSE)</f>
        <v>1100</v>
      </c>
      <c r="J548" s="10" t="str">
        <f t="shared" si="33"/>
        <v>Above Max</v>
      </c>
      <c r="K548" s="10">
        <f t="shared" si="34"/>
        <v>0</v>
      </c>
    </row>
    <row r="549" spans="1:11" ht="15.6" x14ac:dyDescent="0.3">
      <c r="A549" s="9">
        <v>45812</v>
      </c>
      <c r="B549" s="3" t="s">
        <v>130</v>
      </c>
      <c r="C549" s="13">
        <v>1200</v>
      </c>
      <c r="D549" s="3" t="s">
        <v>8</v>
      </c>
      <c r="E549" s="3" t="s">
        <v>7</v>
      </c>
      <c r="F549" s="10" t="str">
        <f t="shared" si="35"/>
        <v>Jun-2025</v>
      </c>
      <c r="G549" t="str">
        <f t="shared" si="32"/>
        <v>2025-06</v>
      </c>
      <c r="H549" s="10">
        <f>VLOOKUP(B549, Price_List!$A$3:$C$62, 2, FALSE)</f>
        <v>1000</v>
      </c>
      <c r="I549" s="10">
        <f>VLOOKUP(B549, Price_List!$A$3:$C$62, 3, FALSE)</f>
        <v>2000</v>
      </c>
      <c r="J549" s="10" t="str">
        <f t="shared" si="33"/>
        <v>Within Range</v>
      </c>
      <c r="K549" s="10">
        <f t="shared" si="34"/>
        <v>0</v>
      </c>
    </row>
    <row r="550" spans="1:11" ht="15.6" x14ac:dyDescent="0.3">
      <c r="A550" s="9">
        <v>45812</v>
      </c>
      <c r="B550" s="15" t="s">
        <v>104</v>
      </c>
      <c r="C550" s="13">
        <v>500</v>
      </c>
      <c r="D550" s="3" t="s">
        <v>8</v>
      </c>
      <c r="E550" s="3" t="s">
        <v>7</v>
      </c>
      <c r="F550" s="10" t="str">
        <f t="shared" si="35"/>
        <v>Jun-2025</v>
      </c>
      <c r="G550" t="str">
        <f t="shared" si="32"/>
        <v>2025-06</v>
      </c>
      <c r="H550" s="10">
        <f>VLOOKUP(B550, Price_List!$A$3:$C$62, 2, FALSE)</f>
        <v>500</v>
      </c>
      <c r="I550" s="10">
        <f>VLOOKUP(B550, Price_List!$A$3:$C$62, 3, FALSE)</f>
        <v>500</v>
      </c>
      <c r="J550" s="10" t="str">
        <f t="shared" si="33"/>
        <v>Within Range</v>
      </c>
      <c r="K550" s="10">
        <f t="shared" si="34"/>
        <v>0</v>
      </c>
    </row>
    <row r="551" spans="1:11" ht="15.6" x14ac:dyDescent="0.3">
      <c r="A551" s="9">
        <v>45812</v>
      </c>
      <c r="B551" s="3" t="s">
        <v>14</v>
      </c>
      <c r="C551" s="13">
        <v>1300</v>
      </c>
      <c r="D551" s="3" t="s">
        <v>8</v>
      </c>
      <c r="E551" s="3" t="s">
        <v>7</v>
      </c>
      <c r="F551" s="10" t="str">
        <f t="shared" si="35"/>
        <v>Jun-2025</v>
      </c>
      <c r="G551" t="str">
        <f t="shared" si="32"/>
        <v>2025-06</v>
      </c>
      <c r="H551" s="10">
        <f>VLOOKUP(B551, Price_List!$A$3:$C$62, 2, FALSE)</f>
        <v>800</v>
      </c>
      <c r="I551" s="10">
        <f>VLOOKUP(B551, Price_List!$A$3:$C$62, 3, FALSE)</f>
        <v>1000</v>
      </c>
      <c r="J551" s="10" t="str">
        <f t="shared" si="33"/>
        <v>Above Max</v>
      </c>
      <c r="K551" s="10">
        <f t="shared" si="34"/>
        <v>0</v>
      </c>
    </row>
    <row r="552" spans="1:11" ht="15.6" x14ac:dyDescent="0.3">
      <c r="A552" s="9">
        <v>45812</v>
      </c>
      <c r="B552" s="3" t="s">
        <v>11</v>
      </c>
      <c r="C552" s="13">
        <v>350</v>
      </c>
      <c r="D552" s="3" t="s">
        <v>8</v>
      </c>
      <c r="E552" s="3" t="s">
        <v>7</v>
      </c>
      <c r="F552" s="10" t="str">
        <f t="shared" si="35"/>
        <v>Jun-2025</v>
      </c>
      <c r="G552" t="str">
        <f t="shared" si="32"/>
        <v>2025-06</v>
      </c>
      <c r="H552" s="10">
        <f>VLOOKUP(B552, Price_List!$A$3:$C$62, 2, FALSE)</f>
        <v>350</v>
      </c>
      <c r="I552" s="10">
        <f>VLOOKUP(B552, Price_List!$A$3:$C$62, 3, FALSE)</f>
        <v>700</v>
      </c>
      <c r="J552" s="10" t="str">
        <f t="shared" si="33"/>
        <v>Within Range</v>
      </c>
      <c r="K552" s="10">
        <f t="shared" si="34"/>
        <v>0</v>
      </c>
    </row>
    <row r="553" spans="1:11" ht="15.6" x14ac:dyDescent="0.3">
      <c r="A553" s="9">
        <v>45812</v>
      </c>
      <c r="B553" s="3" t="s">
        <v>36</v>
      </c>
      <c r="C553" s="13">
        <v>200</v>
      </c>
      <c r="D553" s="3" t="s">
        <v>8</v>
      </c>
      <c r="E553" s="3" t="s">
        <v>7</v>
      </c>
      <c r="F553" s="10" t="str">
        <f t="shared" si="35"/>
        <v>Jun-2025</v>
      </c>
      <c r="G553" t="str">
        <f t="shared" si="32"/>
        <v>2025-06</v>
      </c>
      <c r="H553" s="10">
        <f>VLOOKUP(B553, Price_List!$A$3:$C$62, 2, FALSE)</f>
        <v>70</v>
      </c>
      <c r="I553" s="10">
        <f>VLOOKUP(B553, Price_List!$A$3:$C$62, 3, FALSE)</f>
        <v>140</v>
      </c>
      <c r="J553" s="10" t="str">
        <f t="shared" si="33"/>
        <v>Above Max</v>
      </c>
      <c r="K553" s="10">
        <f t="shared" si="34"/>
        <v>0</v>
      </c>
    </row>
    <row r="554" spans="1:11" ht="15.6" x14ac:dyDescent="0.3">
      <c r="A554" s="9">
        <v>45813</v>
      </c>
      <c r="B554" s="3" t="s">
        <v>11</v>
      </c>
      <c r="C554" s="13">
        <v>350</v>
      </c>
      <c r="D554" s="3" t="s">
        <v>8</v>
      </c>
      <c r="E554" s="3" t="s">
        <v>7</v>
      </c>
      <c r="F554" s="10" t="str">
        <f t="shared" si="35"/>
        <v>Jun-2025</v>
      </c>
      <c r="G554" t="str">
        <f t="shared" si="32"/>
        <v>2025-06</v>
      </c>
      <c r="H554" s="10">
        <f>VLOOKUP(B554, Price_List!$A$3:$C$62, 2, FALSE)</f>
        <v>350</v>
      </c>
      <c r="I554" s="10">
        <f>VLOOKUP(B554, Price_List!$A$3:$C$62, 3, FALSE)</f>
        <v>700</v>
      </c>
      <c r="J554" s="10" t="str">
        <f t="shared" si="33"/>
        <v>Within Range</v>
      </c>
      <c r="K554" s="10">
        <f t="shared" si="34"/>
        <v>0</v>
      </c>
    </row>
    <row r="555" spans="1:11" ht="15.6" x14ac:dyDescent="0.3">
      <c r="A555" s="9">
        <v>45810</v>
      </c>
      <c r="B555" s="3" t="s">
        <v>119</v>
      </c>
      <c r="C555" s="13">
        <v>580</v>
      </c>
      <c r="D555" s="3" t="s">
        <v>6</v>
      </c>
      <c r="E555" s="3" t="s">
        <v>60</v>
      </c>
      <c r="F555" s="10" t="str">
        <f t="shared" si="35"/>
        <v>Jun-2025</v>
      </c>
      <c r="G555" t="str">
        <f t="shared" si="32"/>
        <v>2025-06</v>
      </c>
      <c r="H555" s="10">
        <f>VLOOKUP(B555, Price_List!$A$3:$C$62, 2, FALSE)</f>
        <v>200</v>
      </c>
      <c r="I555" s="10">
        <f>VLOOKUP(B555, Price_List!$A$3:$C$62, 3, FALSE)</f>
        <v>300</v>
      </c>
      <c r="J555" s="10" t="str">
        <f t="shared" si="33"/>
        <v>Above Max</v>
      </c>
      <c r="K555" s="10">
        <f t="shared" si="34"/>
        <v>0</v>
      </c>
    </row>
    <row r="556" spans="1:11" ht="15.6" x14ac:dyDescent="0.3">
      <c r="A556" s="9">
        <v>45813</v>
      </c>
      <c r="B556" s="15" t="s">
        <v>108</v>
      </c>
      <c r="C556" s="13">
        <v>1900</v>
      </c>
      <c r="D556" s="3" t="s">
        <v>6</v>
      </c>
      <c r="E556" s="3" t="s">
        <v>7</v>
      </c>
      <c r="F556" s="10" t="str">
        <f t="shared" si="35"/>
        <v>Jun-2025</v>
      </c>
      <c r="G556" t="str">
        <f t="shared" si="32"/>
        <v>2025-06</v>
      </c>
      <c r="H556" s="10">
        <f>VLOOKUP(B556, Price_List!$A$3:$C$62, 2, FALSE)</f>
        <v>1000</v>
      </c>
      <c r="I556" s="10">
        <f>VLOOKUP(B556, Price_List!$A$3:$C$62, 3, FALSE)</f>
        <v>2000</v>
      </c>
      <c r="J556" s="10" t="str">
        <f t="shared" si="33"/>
        <v>Within Range</v>
      </c>
      <c r="K556" s="10">
        <f t="shared" si="34"/>
        <v>0</v>
      </c>
    </row>
    <row r="557" spans="1:11" ht="15.6" x14ac:dyDescent="0.3">
      <c r="A557" s="9">
        <v>45813</v>
      </c>
      <c r="B557" s="3" t="s">
        <v>22</v>
      </c>
      <c r="C557" s="13">
        <v>250</v>
      </c>
      <c r="D557" s="3" t="s">
        <v>8</v>
      </c>
      <c r="E557" s="3" t="s">
        <v>7</v>
      </c>
      <c r="F557" s="10" t="str">
        <f t="shared" si="35"/>
        <v>Jun-2025</v>
      </c>
      <c r="G557" t="str">
        <f t="shared" si="32"/>
        <v>2025-06</v>
      </c>
      <c r="H557" s="10">
        <f>VLOOKUP(B557, Price_List!$A$3:$C$62, 2, FALSE)</f>
        <v>250</v>
      </c>
      <c r="I557" s="10">
        <f>VLOOKUP(B557, Price_List!$A$3:$C$62, 3, FALSE)</f>
        <v>250</v>
      </c>
      <c r="J557" s="10" t="str">
        <f t="shared" si="33"/>
        <v>Within Range</v>
      </c>
      <c r="K557" s="10">
        <f t="shared" si="34"/>
        <v>0</v>
      </c>
    </row>
    <row r="558" spans="1:11" ht="15.6" x14ac:dyDescent="0.3">
      <c r="A558" s="9">
        <v>45813</v>
      </c>
      <c r="B558" s="3" t="s">
        <v>18</v>
      </c>
      <c r="C558" s="13">
        <v>350</v>
      </c>
      <c r="D558" s="3" t="s">
        <v>8</v>
      </c>
      <c r="E558" s="3" t="s">
        <v>7</v>
      </c>
      <c r="F558" s="10" t="str">
        <f t="shared" si="35"/>
        <v>Jun-2025</v>
      </c>
      <c r="G558" t="str">
        <f t="shared" si="32"/>
        <v>2025-06</v>
      </c>
      <c r="H558" s="10">
        <f>VLOOKUP(B558, Price_List!$A$3:$C$62, 2, FALSE)</f>
        <v>700</v>
      </c>
      <c r="I558" s="10">
        <f>VLOOKUP(B558, Price_List!$A$3:$C$62, 3, FALSE)</f>
        <v>700</v>
      </c>
      <c r="J558" s="10" t="str">
        <f t="shared" si="33"/>
        <v>Below Min(Bargain)</v>
      </c>
      <c r="K558" s="10">
        <f t="shared" si="34"/>
        <v>350</v>
      </c>
    </row>
    <row r="559" spans="1:11" ht="15.6" x14ac:dyDescent="0.3">
      <c r="A559" s="9">
        <v>45814</v>
      </c>
      <c r="B559" s="3" t="s">
        <v>12</v>
      </c>
      <c r="C559" s="13">
        <v>300</v>
      </c>
      <c r="D559" s="3" t="s">
        <v>8</v>
      </c>
      <c r="E559" s="3" t="s">
        <v>7</v>
      </c>
      <c r="F559" s="10" t="str">
        <f t="shared" si="35"/>
        <v>Jun-2025</v>
      </c>
      <c r="G559" t="str">
        <f t="shared" si="32"/>
        <v>2025-06</v>
      </c>
      <c r="H559" s="10">
        <f>VLOOKUP(B559, Price_List!$A$3:$C$62, 2, FALSE)</f>
        <v>350</v>
      </c>
      <c r="I559" s="10">
        <f>VLOOKUP(B559, Price_List!$A$3:$C$62, 3, FALSE)</f>
        <v>500</v>
      </c>
      <c r="J559" s="10" t="str">
        <f t="shared" si="33"/>
        <v>Below Min(Bargain)</v>
      </c>
      <c r="K559" s="10">
        <f t="shared" si="34"/>
        <v>50</v>
      </c>
    </row>
    <row r="560" spans="1:11" ht="15.6" x14ac:dyDescent="0.3">
      <c r="A560" s="9">
        <v>45814</v>
      </c>
      <c r="B560" s="15" t="s">
        <v>120</v>
      </c>
      <c r="C560" s="13">
        <v>1000</v>
      </c>
      <c r="D560" s="3" t="s">
        <v>8</v>
      </c>
      <c r="E560" s="3" t="s">
        <v>7</v>
      </c>
      <c r="F560" s="10" t="str">
        <f t="shared" si="35"/>
        <v>Jun-2025</v>
      </c>
      <c r="G560" t="str">
        <f t="shared" si="32"/>
        <v>2025-06</v>
      </c>
      <c r="H560" s="10">
        <f>VLOOKUP(B560, Price_List!$A$3:$C$62, 2, FALSE)</f>
        <v>1000</v>
      </c>
      <c r="I560" s="10">
        <f>VLOOKUP(B560, Price_List!$A$3:$C$62, 3, FALSE)</f>
        <v>1000</v>
      </c>
      <c r="J560" s="10" t="str">
        <f t="shared" si="33"/>
        <v>Within Range</v>
      </c>
      <c r="K560" s="10">
        <f t="shared" si="34"/>
        <v>0</v>
      </c>
    </row>
    <row r="561" spans="1:11" ht="15.6" x14ac:dyDescent="0.3">
      <c r="A561" s="9">
        <v>45813</v>
      </c>
      <c r="B561" s="3" t="s">
        <v>126</v>
      </c>
      <c r="C561" s="13">
        <v>220</v>
      </c>
      <c r="D561" s="3" t="s">
        <v>8</v>
      </c>
      <c r="E561" s="3" t="s">
        <v>60</v>
      </c>
      <c r="F561" s="10" t="str">
        <f t="shared" si="35"/>
        <v>Jun-2025</v>
      </c>
      <c r="G561" t="str">
        <f t="shared" si="32"/>
        <v>2025-06</v>
      </c>
      <c r="H561" s="10">
        <f>VLOOKUP(B561, Price_List!$A$3:$C$62, 2, FALSE)</f>
        <v>30</v>
      </c>
      <c r="I561" s="10">
        <f>VLOOKUP(B561, Price_List!$A$3:$C$62, 3, FALSE)</f>
        <v>40</v>
      </c>
      <c r="J561" s="10" t="str">
        <f t="shared" si="33"/>
        <v>Above Max</v>
      </c>
      <c r="K561" s="10">
        <f t="shared" si="34"/>
        <v>0</v>
      </c>
    </row>
    <row r="562" spans="1:11" ht="15.6" x14ac:dyDescent="0.3">
      <c r="A562" s="9">
        <v>45814</v>
      </c>
      <c r="B562" s="3" t="s">
        <v>12</v>
      </c>
      <c r="C562" s="13">
        <v>500</v>
      </c>
      <c r="D562" s="3" t="s">
        <v>8</v>
      </c>
      <c r="E562" s="3" t="s">
        <v>7</v>
      </c>
      <c r="F562" s="10" t="str">
        <f t="shared" si="35"/>
        <v>Jun-2025</v>
      </c>
      <c r="G562" t="str">
        <f t="shared" si="32"/>
        <v>2025-06</v>
      </c>
      <c r="H562" s="10">
        <f>VLOOKUP(B562, Price_List!$A$3:$C$62, 2, FALSE)</f>
        <v>350</v>
      </c>
      <c r="I562" s="10">
        <f>VLOOKUP(B562, Price_List!$A$3:$C$62, 3, FALSE)</f>
        <v>500</v>
      </c>
      <c r="J562" s="10" t="str">
        <f t="shared" si="33"/>
        <v>Within Range</v>
      </c>
      <c r="K562" s="10">
        <f t="shared" si="34"/>
        <v>0</v>
      </c>
    </row>
    <row r="563" spans="1:11" ht="15.6" x14ac:dyDescent="0.3">
      <c r="A563" s="9">
        <v>45814</v>
      </c>
      <c r="B563" s="3" t="s">
        <v>16</v>
      </c>
      <c r="C563" s="13">
        <v>430</v>
      </c>
      <c r="D563" s="3" t="s">
        <v>8</v>
      </c>
      <c r="E563" s="3" t="s">
        <v>7</v>
      </c>
      <c r="F563" s="10" t="str">
        <f t="shared" si="35"/>
        <v>Jun-2025</v>
      </c>
      <c r="G563" t="str">
        <f t="shared" si="32"/>
        <v>2025-06</v>
      </c>
      <c r="H563" s="10">
        <f>VLOOKUP(B563, Price_List!$A$3:$C$62, 2, FALSE)</f>
        <v>500</v>
      </c>
      <c r="I563" s="10">
        <f>VLOOKUP(B563, Price_List!$A$3:$C$62, 3, FALSE)</f>
        <v>500</v>
      </c>
      <c r="J563" s="10" t="str">
        <f t="shared" si="33"/>
        <v>Below Min(Bargain)</v>
      </c>
      <c r="K563" s="10">
        <f t="shared" si="34"/>
        <v>70</v>
      </c>
    </row>
    <row r="564" spans="1:11" ht="15.6" x14ac:dyDescent="0.3">
      <c r="A564" s="9">
        <v>45815</v>
      </c>
      <c r="B564" s="3" t="s">
        <v>5</v>
      </c>
      <c r="C564" s="13">
        <v>90</v>
      </c>
      <c r="D564" s="3" t="s">
        <v>6</v>
      </c>
      <c r="E564" s="3" t="s">
        <v>7</v>
      </c>
      <c r="F564" s="10" t="str">
        <f t="shared" si="35"/>
        <v>Jun-2025</v>
      </c>
      <c r="G564" t="str">
        <f t="shared" si="32"/>
        <v>2025-06</v>
      </c>
      <c r="H564" s="10">
        <f>VLOOKUP(B564, Price_List!$A$3:$C$62, 2, FALSE)</f>
        <v>60</v>
      </c>
      <c r="I564" s="10">
        <f>VLOOKUP(B564, Price_List!$A$3:$C$62, 3, FALSE)</f>
        <v>70</v>
      </c>
      <c r="J564" s="10" t="str">
        <f t="shared" si="33"/>
        <v>Above Max</v>
      </c>
      <c r="K564" s="10">
        <f t="shared" si="34"/>
        <v>0</v>
      </c>
    </row>
    <row r="565" spans="1:11" ht="15.6" x14ac:dyDescent="0.3">
      <c r="A565" s="9">
        <v>45814</v>
      </c>
      <c r="B565" s="3" t="s">
        <v>78</v>
      </c>
      <c r="C565" s="13">
        <v>300</v>
      </c>
      <c r="D565" s="3" t="s">
        <v>8</v>
      </c>
      <c r="E565" s="3" t="s">
        <v>60</v>
      </c>
      <c r="F565" s="10" t="str">
        <f t="shared" si="35"/>
        <v>Jun-2025</v>
      </c>
      <c r="G565" t="str">
        <f t="shared" si="32"/>
        <v>2025-06</v>
      </c>
      <c r="H565" s="10">
        <f>VLOOKUP(B565, Price_List!$A$3:$C$62, 2, FALSE)</f>
        <v>300</v>
      </c>
      <c r="I565" s="10">
        <f>VLOOKUP(B565, Price_List!$A$3:$C$62, 3, FALSE)</f>
        <v>500</v>
      </c>
      <c r="J565" s="10" t="str">
        <f t="shared" si="33"/>
        <v>Within Range</v>
      </c>
      <c r="K565" s="10">
        <f t="shared" si="34"/>
        <v>0</v>
      </c>
    </row>
    <row r="566" spans="1:11" ht="15.6" x14ac:dyDescent="0.3">
      <c r="A566" s="9">
        <v>45819</v>
      </c>
      <c r="B566" s="15" t="s">
        <v>105</v>
      </c>
      <c r="C566" s="13">
        <v>1000</v>
      </c>
      <c r="D566" s="3" t="s">
        <v>8</v>
      </c>
      <c r="E566" s="3" t="s">
        <v>7</v>
      </c>
      <c r="F566" s="10" t="str">
        <f t="shared" si="35"/>
        <v>Jun-2025</v>
      </c>
      <c r="G566" t="str">
        <f t="shared" si="32"/>
        <v>2025-06</v>
      </c>
      <c r="H566" s="10">
        <f>VLOOKUP(B566, Price_List!$A$3:$C$62, 2, FALSE)</f>
        <v>1100</v>
      </c>
      <c r="I566" s="10">
        <f>VLOOKUP(B566, Price_List!$A$3:$C$62, 3, FALSE)</f>
        <v>1100</v>
      </c>
      <c r="J566" s="10" t="str">
        <f t="shared" si="33"/>
        <v>Below Min(Bargain)</v>
      </c>
      <c r="K566" s="10">
        <f t="shared" si="34"/>
        <v>100</v>
      </c>
    </row>
    <row r="567" spans="1:11" ht="15.6" x14ac:dyDescent="0.3">
      <c r="A567" s="9">
        <v>45817</v>
      </c>
      <c r="B567" s="3" t="s">
        <v>131</v>
      </c>
      <c r="C567" s="13">
        <v>1050</v>
      </c>
      <c r="D567" s="3" t="s">
        <v>8</v>
      </c>
      <c r="E567" s="3" t="s">
        <v>60</v>
      </c>
      <c r="F567" s="10" t="str">
        <f t="shared" si="35"/>
        <v>Jun-2025</v>
      </c>
      <c r="G567" t="str">
        <f t="shared" si="32"/>
        <v>2025-06</v>
      </c>
      <c r="H567" s="10">
        <f>VLOOKUP(B567, Price_List!$A$3:$C$62, 2, FALSE)</f>
        <v>700</v>
      </c>
      <c r="I567" s="10">
        <f>VLOOKUP(B567, Price_List!$A$3:$C$62, 3, FALSE)</f>
        <v>1000</v>
      </c>
      <c r="J567" s="10" t="str">
        <f t="shared" si="33"/>
        <v>Above Max</v>
      </c>
      <c r="K567" s="10">
        <f t="shared" si="34"/>
        <v>0</v>
      </c>
    </row>
    <row r="568" spans="1:11" ht="15.6" x14ac:dyDescent="0.3">
      <c r="A568" s="9">
        <v>45820</v>
      </c>
      <c r="B568" s="3" t="s">
        <v>59</v>
      </c>
      <c r="C568" s="13">
        <v>150</v>
      </c>
      <c r="D568" s="3" t="s">
        <v>8</v>
      </c>
      <c r="E568" s="3" t="s">
        <v>60</v>
      </c>
      <c r="F568" s="10" t="str">
        <f t="shared" si="35"/>
        <v>Jun-2025</v>
      </c>
      <c r="G568" t="str">
        <f t="shared" si="32"/>
        <v>2025-06</v>
      </c>
      <c r="H568" s="10">
        <f>VLOOKUP(B568, Price_List!$A$3:$C$62, 2, FALSE)</f>
        <v>50</v>
      </c>
      <c r="I568" s="10">
        <f>VLOOKUP(B568, Price_List!$A$3:$C$62, 3, FALSE)</f>
        <v>150</v>
      </c>
      <c r="J568" s="10" t="str">
        <f t="shared" si="33"/>
        <v>Within Range</v>
      </c>
      <c r="K568" s="10">
        <f t="shared" si="34"/>
        <v>0</v>
      </c>
    </row>
    <row r="569" spans="1:11" ht="15.6" x14ac:dyDescent="0.3">
      <c r="A569" s="9">
        <v>45821</v>
      </c>
      <c r="B569" s="3" t="s">
        <v>119</v>
      </c>
      <c r="C569" s="13">
        <v>400</v>
      </c>
      <c r="D569" s="3" t="s">
        <v>8</v>
      </c>
      <c r="E569" s="3" t="s">
        <v>60</v>
      </c>
      <c r="F569" s="10" t="str">
        <f t="shared" si="35"/>
        <v>Jun-2025</v>
      </c>
      <c r="G569" t="str">
        <f t="shared" si="32"/>
        <v>2025-06</v>
      </c>
      <c r="H569" s="10">
        <f>VLOOKUP(B569, Price_List!$A$3:$C$62, 2, FALSE)</f>
        <v>200</v>
      </c>
      <c r="I569" s="10">
        <f>VLOOKUP(B569, Price_List!$A$3:$C$62, 3, FALSE)</f>
        <v>300</v>
      </c>
      <c r="J569" s="10" t="str">
        <f t="shared" si="33"/>
        <v>Above Max</v>
      </c>
      <c r="K569" s="10">
        <f t="shared" si="34"/>
        <v>0</v>
      </c>
    </row>
    <row r="570" spans="1:11" ht="15.6" x14ac:dyDescent="0.3">
      <c r="A570" s="9">
        <v>45822</v>
      </c>
      <c r="B570" s="3" t="s">
        <v>119</v>
      </c>
      <c r="C570" s="13">
        <v>200</v>
      </c>
      <c r="D570" s="3" t="s">
        <v>8</v>
      </c>
      <c r="E570" s="3" t="s">
        <v>60</v>
      </c>
      <c r="F570" s="10" t="str">
        <f t="shared" si="35"/>
        <v>Jun-2025</v>
      </c>
      <c r="G570" t="str">
        <f t="shared" si="32"/>
        <v>2025-06</v>
      </c>
      <c r="H570" s="10">
        <f>VLOOKUP(B570, Price_List!$A$3:$C$62, 2, FALSE)</f>
        <v>200</v>
      </c>
      <c r="I570" s="10">
        <f>VLOOKUP(B570, Price_List!$A$3:$C$62, 3, FALSE)</f>
        <v>300</v>
      </c>
      <c r="J570" s="10" t="str">
        <f t="shared" si="33"/>
        <v>Within Range</v>
      </c>
      <c r="K570" s="10">
        <f t="shared" si="34"/>
        <v>0</v>
      </c>
    </row>
    <row r="571" spans="1:11" ht="15.6" x14ac:dyDescent="0.3">
      <c r="A571" s="9">
        <v>45822</v>
      </c>
      <c r="B571" s="3" t="s">
        <v>119</v>
      </c>
      <c r="C571" s="13">
        <v>200</v>
      </c>
      <c r="D571" s="3" t="s">
        <v>8</v>
      </c>
      <c r="E571" s="3" t="s">
        <v>60</v>
      </c>
      <c r="F571" s="10" t="str">
        <f t="shared" si="35"/>
        <v>Jun-2025</v>
      </c>
      <c r="G571" t="str">
        <f t="shared" si="32"/>
        <v>2025-06</v>
      </c>
      <c r="H571" s="10">
        <f>VLOOKUP(B571, Price_List!$A$3:$C$62, 2, FALSE)</f>
        <v>200</v>
      </c>
      <c r="I571" s="10">
        <f>VLOOKUP(B571, Price_List!$A$3:$C$62, 3, FALSE)</f>
        <v>300</v>
      </c>
      <c r="J571" s="10" t="str">
        <f t="shared" si="33"/>
        <v>Within Range</v>
      </c>
      <c r="K571" s="10">
        <f t="shared" si="34"/>
        <v>0</v>
      </c>
    </row>
    <row r="572" spans="1:11" ht="15.6" x14ac:dyDescent="0.3">
      <c r="A572" s="9">
        <v>45822</v>
      </c>
      <c r="B572" s="3" t="s">
        <v>126</v>
      </c>
      <c r="C572" s="13">
        <v>40</v>
      </c>
      <c r="D572" s="3" t="s">
        <v>8</v>
      </c>
      <c r="E572" s="3" t="s">
        <v>60</v>
      </c>
      <c r="F572" s="10" t="str">
        <f t="shared" si="35"/>
        <v>Jun-2025</v>
      </c>
      <c r="G572" t="str">
        <f t="shared" si="32"/>
        <v>2025-06</v>
      </c>
      <c r="H572" s="10">
        <f>VLOOKUP(B572, Price_List!$A$3:$C$62, 2, FALSE)</f>
        <v>30</v>
      </c>
      <c r="I572" s="10">
        <f>VLOOKUP(B572, Price_List!$A$3:$C$62, 3, FALSE)</f>
        <v>40</v>
      </c>
      <c r="J572" s="10" t="str">
        <f t="shared" si="33"/>
        <v>Within Range</v>
      </c>
      <c r="K572" s="10">
        <f t="shared" si="34"/>
        <v>0</v>
      </c>
    </row>
    <row r="573" spans="1:11" ht="15.6" x14ac:dyDescent="0.3">
      <c r="A573" s="9">
        <v>45823</v>
      </c>
      <c r="B573" s="15" t="s">
        <v>106</v>
      </c>
      <c r="C573" s="13">
        <v>300</v>
      </c>
      <c r="D573" s="3" t="s">
        <v>8</v>
      </c>
      <c r="E573" s="3" t="s">
        <v>7</v>
      </c>
      <c r="F573" s="10" t="str">
        <f t="shared" si="35"/>
        <v>Jun-2025</v>
      </c>
      <c r="G573" t="str">
        <f t="shared" si="32"/>
        <v>2025-06</v>
      </c>
      <c r="H573" s="10">
        <f>VLOOKUP(B573, Price_List!$A$3:$C$62, 2, FALSE)</f>
        <v>300</v>
      </c>
      <c r="I573" s="10">
        <f>VLOOKUP(B573, Price_List!$A$3:$C$62, 3, FALSE)</f>
        <v>300</v>
      </c>
      <c r="J573" s="10" t="str">
        <f t="shared" si="33"/>
        <v>Within Range</v>
      </c>
      <c r="K573" s="10">
        <f t="shared" si="34"/>
        <v>0</v>
      </c>
    </row>
    <row r="574" spans="1:11" ht="15.6" x14ac:dyDescent="0.3">
      <c r="A574" s="9">
        <v>45824</v>
      </c>
      <c r="B574" s="3" t="s">
        <v>14</v>
      </c>
      <c r="C574" s="13">
        <v>800</v>
      </c>
      <c r="D574" s="3" t="s">
        <v>8</v>
      </c>
      <c r="E574" s="3" t="s">
        <v>7</v>
      </c>
      <c r="F574" s="10" t="str">
        <f t="shared" si="35"/>
        <v>Jun-2025</v>
      </c>
      <c r="G574" t="str">
        <f t="shared" si="32"/>
        <v>2025-06</v>
      </c>
      <c r="H574" s="10">
        <f>VLOOKUP(B574, Price_List!$A$3:$C$62, 2, FALSE)</f>
        <v>800</v>
      </c>
      <c r="I574" s="10">
        <f>VLOOKUP(B574, Price_List!$A$3:$C$62, 3, FALSE)</f>
        <v>1000</v>
      </c>
      <c r="J574" s="10" t="str">
        <f t="shared" si="33"/>
        <v>Within Range</v>
      </c>
      <c r="K574" s="10">
        <f t="shared" si="34"/>
        <v>0</v>
      </c>
    </row>
    <row r="575" spans="1:11" ht="15.6" x14ac:dyDescent="0.3">
      <c r="A575" s="9">
        <v>45822</v>
      </c>
      <c r="B575" s="3" t="s">
        <v>126</v>
      </c>
      <c r="C575" s="13">
        <v>40</v>
      </c>
      <c r="D575" s="3" t="s">
        <v>8</v>
      </c>
      <c r="E575" s="3" t="s">
        <v>60</v>
      </c>
      <c r="F575" s="10" t="str">
        <f t="shared" si="35"/>
        <v>Jun-2025</v>
      </c>
      <c r="G575" t="str">
        <f t="shared" si="32"/>
        <v>2025-06</v>
      </c>
      <c r="H575" s="10">
        <f>VLOOKUP(B575, Price_List!$A$3:$C$62, 2, FALSE)</f>
        <v>30</v>
      </c>
      <c r="I575" s="10">
        <f>VLOOKUP(B575, Price_List!$A$3:$C$62, 3, FALSE)</f>
        <v>40</v>
      </c>
      <c r="J575" s="10" t="str">
        <f t="shared" si="33"/>
        <v>Within Range</v>
      </c>
      <c r="K575" s="10">
        <f t="shared" si="34"/>
        <v>0</v>
      </c>
    </row>
    <row r="576" spans="1:11" ht="15.6" x14ac:dyDescent="0.3">
      <c r="A576" s="9">
        <v>45826</v>
      </c>
      <c r="B576" s="3" t="s">
        <v>13</v>
      </c>
      <c r="C576" s="13">
        <v>300</v>
      </c>
      <c r="D576" s="3" t="s">
        <v>6</v>
      </c>
      <c r="E576" s="3" t="s">
        <v>7</v>
      </c>
      <c r="F576" s="10" t="str">
        <f t="shared" si="35"/>
        <v>Jun-2025</v>
      </c>
      <c r="G576" t="str">
        <f t="shared" si="32"/>
        <v>2025-06</v>
      </c>
      <c r="H576" s="10">
        <f>VLOOKUP(B576, Price_List!$A$3:$C$62, 2, FALSE)</f>
        <v>350</v>
      </c>
      <c r="I576" s="10">
        <f>VLOOKUP(B576, Price_List!$A$3:$C$62, 3, FALSE)</f>
        <v>350</v>
      </c>
      <c r="J576" s="10" t="str">
        <f t="shared" si="33"/>
        <v>Below Min(Bargain)</v>
      </c>
      <c r="K576" s="10">
        <f t="shared" si="34"/>
        <v>50</v>
      </c>
    </row>
    <row r="577" spans="1:11" ht="15.6" x14ac:dyDescent="0.3">
      <c r="A577" s="9">
        <v>45827</v>
      </c>
      <c r="B577" s="15" t="s">
        <v>113</v>
      </c>
      <c r="C577" s="13">
        <v>1560</v>
      </c>
      <c r="D577" s="3" t="s">
        <v>8</v>
      </c>
      <c r="E577" s="3" t="s">
        <v>7</v>
      </c>
      <c r="F577" s="10" t="str">
        <f t="shared" si="35"/>
        <v>Jun-2025</v>
      </c>
      <c r="G577" t="str">
        <f t="shared" si="32"/>
        <v>2025-06</v>
      </c>
      <c r="H577" s="10">
        <f>VLOOKUP(B577, Price_List!$A$3:$C$62, 2, FALSE)</f>
        <v>2000</v>
      </c>
      <c r="I577" s="10">
        <f>VLOOKUP(B577, Price_List!$A$3:$C$62, 3, FALSE)</f>
        <v>2000</v>
      </c>
      <c r="J577" s="10" t="str">
        <f t="shared" si="33"/>
        <v>Below Min(Bargain)</v>
      </c>
      <c r="K577" s="10">
        <f t="shared" si="34"/>
        <v>440</v>
      </c>
    </row>
    <row r="578" spans="1:11" ht="15.6" x14ac:dyDescent="0.3">
      <c r="A578" s="9">
        <v>45828</v>
      </c>
      <c r="B578" s="3" t="s">
        <v>14</v>
      </c>
      <c r="C578" s="13">
        <v>700</v>
      </c>
      <c r="D578" s="3" t="s">
        <v>8</v>
      </c>
      <c r="E578" s="3" t="s">
        <v>7</v>
      </c>
      <c r="F578" s="10" t="str">
        <f t="shared" si="35"/>
        <v>Jun-2025</v>
      </c>
      <c r="G578" t="str">
        <f t="shared" si="32"/>
        <v>2025-06</v>
      </c>
      <c r="H578" s="10">
        <f>VLOOKUP(B578, Price_List!$A$3:$C$62, 2, FALSE)</f>
        <v>800</v>
      </c>
      <c r="I578" s="10">
        <f>VLOOKUP(B578, Price_List!$A$3:$C$62, 3, FALSE)</f>
        <v>1000</v>
      </c>
      <c r="J578" s="10" t="str">
        <f t="shared" si="33"/>
        <v>Below Min(Bargain)</v>
      </c>
      <c r="K578" s="10">
        <f t="shared" si="34"/>
        <v>100</v>
      </c>
    </row>
    <row r="579" spans="1:11" ht="15.6" x14ac:dyDescent="0.3">
      <c r="A579" s="9">
        <v>45829</v>
      </c>
      <c r="B579" s="15" t="s">
        <v>120</v>
      </c>
      <c r="C579" s="13">
        <v>900</v>
      </c>
      <c r="D579" s="3" t="s">
        <v>8</v>
      </c>
      <c r="E579" s="3" t="s">
        <v>7</v>
      </c>
      <c r="F579" s="10" t="str">
        <f t="shared" si="35"/>
        <v>Jun-2025</v>
      </c>
      <c r="G579" t="str">
        <f t="shared" ref="G579:G611" si="36">TEXT(A579,"yyyy-mm")</f>
        <v>2025-06</v>
      </c>
      <c r="H579" s="10">
        <f>VLOOKUP(B579, Price_List!$A$3:$C$62, 2, FALSE)</f>
        <v>1000</v>
      </c>
      <c r="I579" s="10">
        <f>VLOOKUP(B579, Price_List!$A$3:$C$62, 3, FALSE)</f>
        <v>1000</v>
      </c>
      <c r="J579" s="10" t="str">
        <f t="shared" ref="J579:J611" si="37">IF(C579 &lt; H579, "Below Min(Bargain)", IF(C579 &gt; I579, "Above Max", "Within Range"))</f>
        <v>Below Min(Bargain)</v>
      </c>
      <c r="K579" s="10">
        <f t="shared" ref="K579:K611" si="38">IF(C579 &lt; H579, H579 - C579, 0)</f>
        <v>100</v>
      </c>
    </row>
    <row r="580" spans="1:11" ht="15.6" x14ac:dyDescent="0.3">
      <c r="A580" s="9">
        <v>45829</v>
      </c>
      <c r="B580" s="3" t="s">
        <v>5</v>
      </c>
      <c r="C580" s="13">
        <v>60</v>
      </c>
      <c r="D580" s="3" t="s">
        <v>8</v>
      </c>
      <c r="E580" s="3" t="s">
        <v>7</v>
      </c>
      <c r="F580" s="10" t="str">
        <f t="shared" ref="F580:F611" si="39">TEXT(A580, "mmm-yyyy")</f>
        <v>Jun-2025</v>
      </c>
      <c r="G580" t="str">
        <f t="shared" si="36"/>
        <v>2025-06</v>
      </c>
      <c r="H580" s="10">
        <f>VLOOKUP(B580, Price_List!$A$3:$C$62, 2, FALSE)</f>
        <v>60</v>
      </c>
      <c r="I580" s="10">
        <f>VLOOKUP(B580, Price_List!$A$3:$C$62, 3, FALSE)</f>
        <v>70</v>
      </c>
      <c r="J580" s="10" t="str">
        <f t="shared" si="37"/>
        <v>Within Range</v>
      </c>
      <c r="K580" s="10">
        <f t="shared" si="38"/>
        <v>0</v>
      </c>
    </row>
    <row r="581" spans="1:11" ht="15.6" x14ac:dyDescent="0.3">
      <c r="A581" s="9">
        <v>45829</v>
      </c>
      <c r="B581" s="3" t="s">
        <v>16</v>
      </c>
      <c r="C581" s="13">
        <v>500</v>
      </c>
      <c r="D581" s="3" t="s">
        <v>8</v>
      </c>
      <c r="E581" s="3" t="s">
        <v>7</v>
      </c>
      <c r="F581" s="10" t="str">
        <f t="shared" si="39"/>
        <v>Jun-2025</v>
      </c>
      <c r="G581" t="str">
        <f t="shared" si="36"/>
        <v>2025-06</v>
      </c>
      <c r="H581" s="10">
        <f>VLOOKUP(B581, Price_List!$A$3:$C$62, 2, FALSE)</f>
        <v>500</v>
      </c>
      <c r="I581" s="10">
        <f>VLOOKUP(B581, Price_List!$A$3:$C$62, 3, FALSE)</f>
        <v>500</v>
      </c>
      <c r="J581" s="10" t="str">
        <f t="shared" si="37"/>
        <v>Within Range</v>
      </c>
      <c r="K581" s="10">
        <f t="shared" si="38"/>
        <v>0</v>
      </c>
    </row>
    <row r="582" spans="1:11" ht="15.6" x14ac:dyDescent="0.3">
      <c r="A582" s="9">
        <v>45829</v>
      </c>
      <c r="B582" s="3" t="s">
        <v>5</v>
      </c>
      <c r="C582" s="13">
        <v>60</v>
      </c>
      <c r="D582" s="3" t="s">
        <v>8</v>
      </c>
      <c r="E582" s="3" t="s">
        <v>7</v>
      </c>
      <c r="F582" s="10" t="str">
        <f t="shared" si="39"/>
        <v>Jun-2025</v>
      </c>
      <c r="G582" t="str">
        <f t="shared" si="36"/>
        <v>2025-06</v>
      </c>
      <c r="H582" s="10">
        <f>VLOOKUP(B582, Price_List!$A$3:$C$62, 2, FALSE)</f>
        <v>60</v>
      </c>
      <c r="I582" s="10">
        <f>VLOOKUP(B582, Price_List!$A$3:$C$62, 3, FALSE)</f>
        <v>70</v>
      </c>
      <c r="J582" s="10" t="str">
        <f t="shared" si="37"/>
        <v>Within Range</v>
      </c>
      <c r="K582" s="10">
        <f t="shared" si="38"/>
        <v>0</v>
      </c>
    </row>
    <row r="583" spans="1:11" ht="15.6" x14ac:dyDescent="0.3">
      <c r="A583" s="9">
        <v>45830</v>
      </c>
      <c r="B583" s="3" t="s">
        <v>18</v>
      </c>
      <c r="C583" s="13">
        <v>700</v>
      </c>
      <c r="D583" s="3" t="s">
        <v>8</v>
      </c>
      <c r="E583" s="3" t="s">
        <v>7</v>
      </c>
      <c r="F583" s="10" t="str">
        <f t="shared" si="39"/>
        <v>Jun-2025</v>
      </c>
      <c r="G583" t="str">
        <f t="shared" si="36"/>
        <v>2025-06</v>
      </c>
      <c r="H583" s="10">
        <f>VLOOKUP(B583, Price_List!$A$3:$C$62, 2, FALSE)</f>
        <v>700</v>
      </c>
      <c r="I583" s="10">
        <f>VLOOKUP(B583, Price_List!$A$3:$C$62, 3, FALSE)</f>
        <v>700</v>
      </c>
      <c r="J583" s="10" t="str">
        <f t="shared" si="37"/>
        <v>Within Range</v>
      </c>
      <c r="K583" s="10">
        <f t="shared" si="38"/>
        <v>0</v>
      </c>
    </row>
    <row r="584" spans="1:11" ht="15.6" x14ac:dyDescent="0.3">
      <c r="A584" s="9">
        <v>45830</v>
      </c>
      <c r="B584" s="3" t="s">
        <v>44</v>
      </c>
      <c r="C584" s="13">
        <v>200</v>
      </c>
      <c r="D584" s="3" t="s">
        <v>8</v>
      </c>
      <c r="E584" s="3" t="s">
        <v>7</v>
      </c>
      <c r="F584" s="10" t="str">
        <f t="shared" si="39"/>
        <v>Jun-2025</v>
      </c>
      <c r="G584" t="str">
        <f t="shared" si="36"/>
        <v>2025-06</v>
      </c>
      <c r="H584" s="10">
        <f>VLOOKUP(B584, Price_List!$A$3:$C$62, 2, FALSE)</f>
        <v>300</v>
      </c>
      <c r="I584" s="10">
        <f>VLOOKUP(B584, Price_List!$A$3:$C$62, 3, FALSE)</f>
        <v>500</v>
      </c>
      <c r="J584" s="10" t="str">
        <f t="shared" si="37"/>
        <v>Below Min(Bargain)</v>
      </c>
      <c r="K584" s="10">
        <f t="shared" si="38"/>
        <v>100</v>
      </c>
    </row>
    <row r="585" spans="1:11" ht="15.6" x14ac:dyDescent="0.3">
      <c r="A585" s="9">
        <v>45831</v>
      </c>
      <c r="B585" s="3" t="s">
        <v>36</v>
      </c>
      <c r="C585" s="13">
        <v>120</v>
      </c>
      <c r="D585" s="3" t="s">
        <v>6</v>
      </c>
      <c r="E585" s="3" t="s">
        <v>7</v>
      </c>
      <c r="F585" s="10" t="str">
        <f t="shared" si="39"/>
        <v>Jun-2025</v>
      </c>
      <c r="G585" t="str">
        <f t="shared" si="36"/>
        <v>2025-06</v>
      </c>
      <c r="H585" s="10">
        <f>VLOOKUP(B585, Price_List!$A$3:$C$62, 2, FALSE)</f>
        <v>70</v>
      </c>
      <c r="I585" s="10">
        <f>VLOOKUP(B585, Price_List!$A$3:$C$62, 3, FALSE)</f>
        <v>140</v>
      </c>
      <c r="J585" s="10" t="str">
        <f t="shared" si="37"/>
        <v>Within Range</v>
      </c>
      <c r="K585" s="10">
        <f t="shared" si="38"/>
        <v>0</v>
      </c>
    </row>
    <row r="586" spans="1:11" ht="15.6" x14ac:dyDescent="0.3">
      <c r="A586" s="9">
        <v>45831</v>
      </c>
      <c r="B586" s="3" t="s">
        <v>5</v>
      </c>
      <c r="C586" s="13">
        <v>70</v>
      </c>
      <c r="D586" s="3" t="s">
        <v>8</v>
      </c>
      <c r="E586" s="3" t="s">
        <v>7</v>
      </c>
      <c r="F586" s="10" t="str">
        <f t="shared" si="39"/>
        <v>Jun-2025</v>
      </c>
      <c r="G586" t="str">
        <f t="shared" si="36"/>
        <v>2025-06</v>
      </c>
      <c r="H586" s="10">
        <f>VLOOKUP(B586, Price_List!$A$3:$C$62, 2, FALSE)</f>
        <v>60</v>
      </c>
      <c r="I586" s="10">
        <f>VLOOKUP(B586, Price_List!$A$3:$C$62, 3, FALSE)</f>
        <v>70</v>
      </c>
      <c r="J586" s="10" t="str">
        <f t="shared" si="37"/>
        <v>Within Range</v>
      </c>
      <c r="K586" s="10">
        <f t="shared" si="38"/>
        <v>0</v>
      </c>
    </row>
    <row r="587" spans="1:11" ht="15.6" x14ac:dyDescent="0.3">
      <c r="A587" s="9">
        <v>45832</v>
      </c>
      <c r="B587" s="3" t="s">
        <v>5</v>
      </c>
      <c r="C587" s="13">
        <v>60</v>
      </c>
      <c r="D587" s="3" t="s">
        <v>8</v>
      </c>
      <c r="E587" s="3" t="s">
        <v>7</v>
      </c>
      <c r="F587" s="10" t="str">
        <f t="shared" si="39"/>
        <v>Jun-2025</v>
      </c>
      <c r="G587" t="str">
        <f t="shared" si="36"/>
        <v>2025-06</v>
      </c>
      <c r="H587" s="10">
        <f>VLOOKUP(B587, Price_List!$A$3:$C$62, 2, FALSE)</f>
        <v>60</v>
      </c>
      <c r="I587" s="10">
        <f>VLOOKUP(B587, Price_List!$A$3:$C$62, 3, FALSE)</f>
        <v>70</v>
      </c>
      <c r="J587" s="10" t="str">
        <f t="shared" si="37"/>
        <v>Within Range</v>
      </c>
      <c r="K587" s="10">
        <f t="shared" si="38"/>
        <v>0</v>
      </c>
    </row>
    <row r="588" spans="1:11" ht="15.6" x14ac:dyDescent="0.3">
      <c r="A588" s="9">
        <v>45832</v>
      </c>
      <c r="B588" s="15" t="s">
        <v>120</v>
      </c>
      <c r="C588" s="13">
        <v>1000</v>
      </c>
      <c r="D588" s="3" t="s">
        <v>8</v>
      </c>
      <c r="E588" s="3" t="s">
        <v>7</v>
      </c>
      <c r="F588" s="10" t="str">
        <f t="shared" si="39"/>
        <v>Jun-2025</v>
      </c>
      <c r="G588" t="str">
        <f t="shared" si="36"/>
        <v>2025-06</v>
      </c>
      <c r="H588" s="10">
        <f>VLOOKUP(B588, Price_List!$A$3:$C$62, 2, FALSE)</f>
        <v>1000</v>
      </c>
      <c r="I588" s="10">
        <f>VLOOKUP(B588, Price_List!$A$3:$C$62, 3, FALSE)</f>
        <v>1000</v>
      </c>
      <c r="J588" s="10" t="str">
        <f t="shared" si="37"/>
        <v>Within Range</v>
      </c>
      <c r="K588" s="10">
        <f t="shared" si="38"/>
        <v>0</v>
      </c>
    </row>
    <row r="589" spans="1:11" ht="15.6" x14ac:dyDescent="0.3">
      <c r="A589" s="9">
        <v>45832</v>
      </c>
      <c r="B589" s="3" t="s">
        <v>5</v>
      </c>
      <c r="C589" s="13">
        <v>120</v>
      </c>
      <c r="D589" s="3" t="s">
        <v>8</v>
      </c>
      <c r="E589" s="3" t="s">
        <v>7</v>
      </c>
      <c r="F589" s="10" t="str">
        <f t="shared" si="39"/>
        <v>Jun-2025</v>
      </c>
      <c r="G589" t="str">
        <f t="shared" si="36"/>
        <v>2025-06</v>
      </c>
      <c r="H589" s="10">
        <f>VLOOKUP(B589, Price_List!$A$3:$C$62, 2, FALSE)</f>
        <v>60</v>
      </c>
      <c r="I589" s="10">
        <f>VLOOKUP(B589, Price_List!$A$3:$C$62, 3, FALSE)</f>
        <v>70</v>
      </c>
      <c r="J589" s="10" t="str">
        <f t="shared" si="37"/>
        <v>Above Max</v>
      </c>
      <c r="K589" s="10">
        <f t="shared" si="38"/>
        <v>0</v>
      </c>
    </row>
    <row r="590" spans="1:11" ht="15.6" x14ac:dyDescent="0.3">
      <c r="A590" s="9">
        <v>45832</v>
      </c>
      <c r="B590" s="3" t="s">
        <v>44</v>
      </c>
      <c r="C590" s="13">
        <v>300</v>
      </c>
      <c r="D590" s="3" t="s">
        <v>8</v>
      </c>
      <c r="E590" s="3" t="s">
        <v>7</v>
      </c>
      <c r="F590" s="10" t="str">
        <f t="shared" si="39"/>
        <v>Jun-2025</v>
      </c>
      <c r="G590" t="str">
        <f t="shared" si="36"/>
        <v>2025-06</v>
      </c>
      <c r="H590" s="10">
        <f>VLOOKUP(B590, Price_List!$A$3:$C$62, 2, FALSE)</f>
        <v>300</v>
      </c>
      <c r="I590" s="10">
        <f>VLOOKUP(B590, Price_List!$A$3:$C$62, 3, FALSE)</f>
        <v>500</v>
      </c>
      <c r="J590" s="10" t="str">
        <f t="shared" si="37"/>
        <v>Within Range</v>
      </c>
      <c r="K590" s="10">
        <f t="shared" si="38"/>
        <v>0</v>
      </c>
    </row>
    <row r="591" spans="1:11" ht="15.6" x14ac:dyDescent="0.3">
      <c r="A591" s="9">
        <v>45832</v>
      </c>
      <c r="B591" s="3" t="s">
        <v>5</v>
      </c>
      <c r="C591" s="13">
        <v>40</v>
      </c>
      <c r="D591" s="3" t="s">
        <v>8</v>
      </c>
      <c r="E591" s="3" t="s">
        <v>7</v>
      </c>
      <c r="F591" s="10" t="str">
        <f t="shared" si="39"/>
        <v>Jun-2025</v>
      </c>
      <c r="G591" t="str">
        <f t="shared" si="36"/>
        <v>2025-06</v>
      </c>
      <c r="H591" s="10">
        <f>VLOOKUP(B591, Price_List!$A$3:$C$62, 2, FALSE)</f>
        <v>60</v>
      </c>
      <c r="I591" s="10">
        <f>VLOOKUP(B591, Price_List!$A$3:$C$62, 3, FALSE)</f>
        <v>70</v>
      </c>
      <c r="J591" s="10" t="str">
        <f t="shared" si="37"/>
        <v>Below Min(Bargain)</v>
      </c>
      <c r="K591" s="10">
        <f t="shared" si="38"/>
        <v>20</v>
      </c>
    </row>
    <row r="592" spans="1:11" ht="15.6" x14ac:dyDescent="0.3">
      <c r="A592" s="9">
        <v>45832</v>
      </c>
      <c r="B592" s="15" t="s">
        <v>132</v>
      </c>
      <c r="C592" s="13">
        <v>900</v>
      </c>
      <c r="D592" s="3" t="s">
        <v>8</v>
      </c>
      <c r="E592" s="3" t="s">
        <v>7</v>
      </c>
      <c r="F592" s="10" t="str">
        <f t="shared" si="39"/>
        <v>Jun-2025</v>
      </c>
      <c r="G592" t="str">
        <f t="shared" si="36"/>
        <v>2025-06</v>
      </c>
      <c r="H592" s="10">
        <f>VLOOKUP(B592, Price_List!$A$3:$C$62, 2, FALSE)</f>
        <v>900</v>
      </c>
      <c r="I592" s="10">
        <f>VLOOKUP(B592, Price_List!$A$3:$C$62, 3, FALSE)</f>
        <v>1100</v>
      </c>
      <c r="J592" s="10" t="str">
        <f t="shared" si="37"/>
        <v>Within Range</v>
      </c>
      <c r="K592" s="10">
        <f t="shared" si="38"/>
        <v>0</v>
      </c>
    </row>
    <row r="593" spans="1:11" ht="15.6" x14ac:dyDescent="0.3">
      <c r="A593" s="9">
        <v>45832</v>
      </c>
      <c r="B593" s="15" t="s">
        <v>5</v>
      </c>
      <c r="C593" s="13">
        <v>60</v>
      </c>
      <c r="D593" s="3" t="s">
        <v>8</v>
      </c>
      <c r="E593" s="3" t="s">
        <v>7</v>
      </c>
      <c r="F593" s="10" t="str">
        <f t="shared" si="39"/>
        <v>Jun-2025</v>
      </c>
      <c r="G593" t="str">
        <f t="shared" si="36"/>
        <v>2025-06</v>
      </c>
      <c r="H593" s="10">
        <f>VLOOKUP(B593, Price_List!$A$3:$C$62, 2, FALSE)</f>
        <v>60</v>
      </c>
      <c r="I593" s="10">
        <f>VLOOKUP(B593, Price_List!$A$3:$C$62, 3, FALSE)</f>
        <v>70</v>
      </c>
      <c r="J593" s="10" t="str">
        <f t="shared" si="37"/>
        <v>Within Range</v>
      </c>
      <c r="K593" s="10">
        <f t="shared" si="38"/>
        <v>0</v>
      </c>
    </row>
    <row r="594" spans="1:11" ht="15.6" x14ac:dyDescent="0.3">
      <c r="A594" s="9">
        <v>45825</v>
      </c>
      <c r="B594" s="3" t="s">
        <v>119</v>
      </c>
      <c r="C594" s="13">
        <v>640</v>
      </c>
      <c r="D594" s="3" t="s">
        <v>6</v>
      </c>
      <c r="E594" s="3" t="s">
        <v>60</v>
      </c>
      <c r="F594" s="10" t="str">
        <f t="shared" si="39"/>
        <v>Jun-2025</v>
      </c>
      <c r="G594" t="str">
        <f t="shared" si="36"/>
        <v>2025-06</v>
      </c>
      <c r="H594" s="10">
        <f>VLOOKUP(B594, Price_List!$A$3:$C$62, 2, FALSE)</f>
        <v>200</v>
      </c>
      <c r="I594" s="10">
        <f>VLOOKUP(B594, Price_List!$A$3:$C$62, 3, FALSE)</f>
        <v>300</v>
      </c>
      <c r="J594" s="10" t="str">
        <f t="shared" si="37"/>
        <v>Above Max</v>
      </c>
      <c r="K594" s="10">
        <f t="shared" si="38"/>
        <v>0</v>
      </c>
    </row>
    <row r="595" spans="1:11" ht="15.6" x14ac:dyDescent="0.3">
      <c r="A595" s="9">
        <v>45833</v>
      </c>
      <c r="B595" s="3" t="s">
        <v>5</v>
      </c>
      <c r="C595" s="13">
        <v>60</v>
      </c>
      <c r="D595" s="3" t="s">
        <v>6</v>
      </c>
      <c r="E595" s="3" t="s">
        <v>7</v>
      </c>
      <c r="F595" s="10" t="str">
        <f t="shared" si="39"/>
        <v>Jun-2025</v>
      </c>
      <c r="G595" t="str">
        <f t="shared" si="36"/>
        <v>2025-06</v>
      </c>
      <c r="H595" s="10">
        <f>VLOOKUP(B595, Price_List!$A$3:$C$62, 2, FALSE)</f>
        <v>60</v>
      </c>
      <c r="I595" s="10">
        <f>VLOOKUP(B595, Price_List!$A$3:$C$62, 3, FALSE)</f>
        <v>70</v>
      </c>
      <c r="J595" s="10" t="str">
        <f t="shared" si="37"/>
        <v>Within Range</v>
      </c>
      <c r="K595" s="10">
        <f t="shared" si="38"/>
        <v>0</v>
      </c>
    </row>
    <row r="596" spans="1:11" ht="15.6" x14ac:dyDescent="0.3">
      <c r="A596" s="9">
        <v>45833</v>
      </c>
      <c r="B596" s="15" t="s">
        <v>120</v>
      </c>
      <c r="C596" s="13">
        <v>1000</v>
      </c>
      <c r="D596" s="3" t="s">
        <v>6</v>
      </c>
      <c r="E596" s="3" t="s">
        <v>7</v>
      </c>
      <c r="F596" s="10" t="str">
        <f t="shared" si="39"/>
        <v>Jun-2025</v>
      </c>
      <c r="G596" t="str">
        <f t="shared" si="36"/>
        <v>2025-06</v>
      </c>
      <c r="H596" s="10">
        <f>VLOOKUP(B596, Price_List!$A$3:$C$62, 2, FALSE)</f>
        <v>1000</v>
      </c>
      <c r="I596" s="10">
        <f>VLOOKUP(B596, Price_List!$A$3:$C$62, 3, FALSE)</f>
        <v>1000</v>
      </c>
      <c r="J596" s="10" t="str">
        <f t="shared" si="37"/>
        <v>Within Range</v>
      </c>
      <c r="K596" s="10">
        <f t="shared" si="38"/>
        <v>0</v>
      </c>
    </row>
    <row r="597" spans="1:11" ht="15.6" x14ac:dyDescent="0.3">
      <c r="A597" s="9">
        <v>45833</v>
      </c>
      <c r="B597" s="3" t="s">
        <v>5</v>
      </c>
      <c r="C597" s="13">
        <v>60</v>
      </c>
      <c r="D597" s="3" t="s">
        <v>8</v>
      </c>
      <c r="E597" s="3" t="s">
        <v>7</v>
      </c>
      <c r="F597" s="10" t="str">
        <f t="shared" si="39"/>
        <v>Jun-2025</v>
      </c>
      <c r="G597" t="str">
        <f t="shared" si="36"/>
        <v>2025-06</v>
      </c>
      <c r="H597" s="10">
        <f>VLOOKUP(B597, Price_List!$A$3:$C$62, 2, FALSE)</f>
        <v>60</v>
      </c>
      <c r="I597" s="10">
        <f>VLOOKUP(B597, Price_List!$A$3:$C$62, 3, FALSE)</f>
        <v>70</v>
      </c>
      <c r="J597" s="10" t="str">
        <f t="shared" si="37"/>
        <v>Within Range</v>
      </c>
      <c r="K597" s="10">
        <f t="shared" si="38"/>
        <v>0</v>
      </c>
    </row>
    <row r="598" spans="1:11" ht="15.6" x14ac:dyDescent="0.3">
      <c r="A598" s="9">
        <v>45833</v>
      </c>
      <c r="B598" s="3" t="s">
        <v>97</v>
      </c>
      <c r="C598" s="13">
        <v>400</v>
      </c>
      <c r="D598" s="3" t="s">
        <v>8</v>
      </c>
      <c r="E598" s="3" t="s">
        <v>7</v>
      </c>
      <c r="F598" s="10" t="str">
        <f t="shared" si="39"/>
        <v>Jun-2025</v>
      </c>
      <c r="G598" t="str">
        <f t="shared" si="36"/>
        <v>2025-06</v>
      </c>
      <c r="H598" s="10">
        <f>VLOOKUP(B598, Price_List!$A$3:$C$62, 2, FALSE)</f>
        <v>350</v>
      </c>
      <c r="I598" s="10">
        <f>VLOOKUP(B598, Price_List!$A$3:$C$62, 3, FALSE)</f>
        <v>500</v>
      </c>
      <c r="J598" s="10" t="str">
        <f t="shared" si="37"/>
        <v>Within Range</v>
      </c>
      <c r="K598" s="10">
        <f t="shared" si="38"/>
        <v>0</v>
      </c>
    </row>
    <row r="599" spans="1:11" ht="15.6" x14ac:dyDescent="0.3">
      <c r="A599" s="9">
        <v>45833</v>
      </c>
      <c r="B599" s="3" t="s">
        <v>5</v>
      </c>
      <c r="C599" s="13">
        <v>80</v>
      </c>
      <c r="D599" s="3" t="s">
        <v>8</v>
      </c>
      <c r="E599" s="3" t="s">
        <v>7</v>
      </c>
      <c r="F599" s="10" t="str">
        <f t="shared" si="39"/>
        <v>Jun-2025</v>
      </c>
      <c r="G599" t="str">
        <f t="shared" si="36"/>
        <v>2025-06</v>
      </c>
      <c r="H599" s="10">
        <f>VLOOKUP(B599, Price_List!$A$3:$C$62, 2, FALSE)</f>
        <v>60</v>
      </c>
      <c r="I599" s="10">
        <f>VLOOKUP(B599, Price_List!$A$3:$C$62, 3, FALSE)</f>
        <v>70</v>
      </c>
      <c r="J599" s="10" t="str">
        <f t="shared" si="37"/>
        <v>Above Max</v>
      </c>
      <c r="K599" s="10">
        <f t="shared" si="38"/>
        <v>0</v>
      </c>
    </row>
    <row r="600" spans="1:11" ht="15.6" x14ac:dyDescent="0.3">
      <c r="A600" s="9">
        <v>45833</v>
      </c>
      <c r="B600" s="15" t="s">
        <v>104</v>
      </c>
      <c r="C600" s="13">
        <v>500</v>
      </c>
      <c r="D600" s="3" t="s">
        <v>8</v>
      </c>
      <c r="E600" s="3" t="s">
        <v>7</v>
      </c>
      <c r="F600" s="10" t="str">
        <f t="shared" si="39"/>
        <v>Jun-2025</v>
      </c>
      <c r="G600" t="str">
        <f t="shared" si="36"/>
        <v>2025-06</v>
      </c>
      <c r="H600" s="10">
        <f>VLOOKUP(B600, Price_List!$A$3:$C$62, 2, FALSE)</f>
        <v>500</v>
      </c>
      <c r="I600" s="10">
        <f>VLOOKUP(B600, Price_List!$A$3:$C$62, 3, FALSE)</f>
        <v>500</v>
      </c>
      <c r="J600" s="10" t="str">
        <f t="shared" si="37"/>
        <v>Within Range</v>
      </c>
      <c r="K600" s="10">
        <f t="shared" si="38"/>
        <v>0</v>
      </c>
    </row>
    <row r="601" spans="1:11" ht="15.6" x14ac:dyDescent="0.3">
      <c r="A601" s="9">
        <v>45833</v>
      </c>
      <c r="B601" s="3" t="s">
        <v>16</v>
      </c>
      <c r="C601" s="13">
        <v>500</v>
      </c>
      <c r="D601" s="3" t="s">
        <v>8</v>
      </c>
      <c r="E601" s="3" t="s">
        <v>7</v>
      </c>
      <c r="F601" s="10" t="str">
        <f t="shared" si="39"/>
        <v>Jun-2025</v>
      </c>
      <c r="G601" t="str">
        <f t="shared" si="36"/>
        <v>2025-06</v>
      </c>
      <c r="H601" s="10">
        <f>VLOOKUP(B601, Price_List!$A$3:$C$62, 2, FALSE)</f>
        <v>500</v>
      </c>
      <c r="I601" s="10">
        <f>VLOOKUP(B601, Price_List!$A$3:$C$62, 3, FALSE)</f>
        <v>500</v>
      </c>
      <c r="J601" s="10" t="str">
        <f t="shared" si="37"/>
        <v>Within Range</v>
      </c>
      <c r="K601" s="10">
        <f t="shared" si="38"/>
        <v>0</v>
      </c>
    </row>
    <row r="602" spans="1:11" ht="15.6" x14ac:dyDescent="0.3">
      <c r="A602" s="9">
        <v>45833</v>
      </c>
      <c r="B602" s="3" t="s">
        <v>5</v>
      </c>
      <c r="C602" s="13">
        <v>60</v>
      </c>
      <c r="D602" s="3" t="s">
        <v>8</v>
      </c>
      <c r="E602" s="3" t="s">
        <v>7</v>
      </c>
      <c r="F602" s="10" t="str">
        <f t="shared" si="39"/>
        <v>Jun-2025</v>
      </c>
      <c r="G602" t="str">
        <f t="shared" si="36"/>
        <v>2025-06</v>
      </c>
      <c r="H602" s="10">
        <f>VLOOKUP(B602, Price_List!$A$3:$C$62, 2, FALSE)</f>
        <v>60</v>
      </c>
      <c r="I602" s="10">
        <f>VLOOKUP(B602, Price_List!$A$3:$C$62, 3, FALSE)</f>
        <v>70</v>
      </c>
      <c r="J602" s="10" t="str">
        <f t="shared" si="37"/>
        <v>Within Range</v>
      </c>
      <c r="K602" s="10">
        <f t="shared" si="38"/>
        <v>0</v>
      </c>
    </row>
    <row r="603" spans="1:11" ht="15.6" x14ac:dyDescent="0.3">
      <c r="A603" s="9">
        <v>45833</v>
      </c>
      <c r="B603" s="3" t="s">
        <v>5</v>
      </c>
      <c r="C603" s="13">
        <v>60</v>
      </c>
      <c r="D603" s="3" t="s">
        <v>8</v>
      </c>
      <c r="E603" s="3" t="s">
        <v>7</v>
      </c>
      <c r="F603" s="10" t="str">
        <f t="shared" si="39"/>
        <v>Jun-2025</v>
      </c>
      <c r="G603" t="str">
        <f t="shared" si="36"/>
        <v>2025-06</v>
      </c>
      <c r="H603" s="10">
        <f>VLOOKUP(B603, Price_List!$A$3:$C$62, 2, FALSE)</f>
        <v>60</v>
      </c>
      <c r="I603" s="10">
        <f>VLOOKUP(B603, Price_List!$A$3:$C$62, 3, FALSE)</f>
        <v>70</v>
      </c>
      <c r="J603" s="10" t="str">
        <f t="shared" si="37"/>
        <v>Within Range</v>
      </c>
      <c r="K603" s="10">
        <f t="shared" si="38"/>
        <v>0</v>
      </c>
    </row>
    <row r="604" spans="1:11" ht="15.6" x14ac:dyDescent="0.3">
      <c r="A604" s="9">
        <v>45832</v>
      </c>
      <c r="B604" s="3" t="s">
        <v>133</v>
      </c>
      <c r="C604" s="13">
        <v>1000</v>
      </c>
      <c r="D604" s="3" t="s">
        <v>8</v>
      </c>
      <c r="E604" s="3" t="s">
        <v>60</v>
      </c>
      <c r="F604" s="10" t="str">
        <f t="shared" si="39"/>
        <v>Jun-2025</v>
      </c>
      <c r="G604" t="str">
        <f t="shared" si="36"/>
        <v>2025-06</v>
      </c>
      <c r="H604" s="10">
        <f>VLOOKUP(B604, Price_List!$A$3:$C$62, 2, FALSE)</f>
        <v>500</v>
      </c>
      <c r="I604" s="10">
        <f>VLOOKUP(B604, Price_List!$A$3:$C$62, 3, FALSE)</f>
        <v>2000</v>
      </c>
      <c r="J604" s="10" t="str">
        <f t="shared" si="37"/>
        <v>Within Range</v>
      </c>
      <c r="K604" s="10">
        <f t="shared" si="38"/>
        <v>0</v>
      </c>
    </row>
    <row r="605" spans="1:11" ht="15.6" x14ac:dyDescent="0.3">
      <c r="A605" s="9">
        <v>45833</v>
      </c>
      <c r="B605" s="3" t="s">
        <v>119</v>
      </c>
      <c r="C605" s="13">
        <v>300</v>
      </c>
      <c r="D605" s="3" t="s">
        <v>8</v>
      </c>
      <c r="E605" s="3" t="s">
        <v>60</v>
      </c>
      <c r="F605" s="10" t="str">
        <f t="shared" si="39"/>
        <v>Jun-2025</v>
      </c>
      <c r="G605" t="str">
        <f t="shared" si="36"/>
        <v>2025-06</v>
      </c>
      <c r="H605" s="10">
        <f>VLOOKUP(B605, Price_List!$A$3:$C$62, 2, FALSE)</f>
        <v>200</v>
      </c>
      <c r="I605" s="10">
        <f>VLOOKUP(B605, Price_List!$A$3:$C$62, 3, FALSE)</f>
        <v>300</v>
      </c>
      <c r="J605" s="10" t="str">
        <f t="shared" si="37"/>
        <v>Within Range</v>
      </c>
      <c r="K605" s="10">
        <f t="shared" si="38"/>
        <v>0</v>
      </c>
    </row>
    <row r="606" spans="1:11" ht="15.6" x14ac:dyDescent="0.3">
      <c r="A606" s="9">
        <v>45833</v>
      </c>
      <c r="B606" s="3" t="s">
        <v>78</v>
      </c>
      <c r="C606" s="13">
        <v>300</v>
      </c>
      <c r="D606" s="3" t="s">
        <v>8</v>
      </c>
      <c r="E606" s="3" t="s">
        <v>60</v>
      </c>
      <c r="F606" s="10" t="str">
        <f t="shared" si="39"/>
        <v>Jun-2025</v>
      </c>
      <c r="G606" t="str">
        <f t="shared" si="36"/>
        <v>2025-06</v>
      </c>
      <c r="H606" s="10">
        <f>VLOOKUP(B606, Price_List!$A$3:$C$62, 2, FALSE)</f>
        <v>300</v>
      </c>
      <c r="I606" s="10">
        <f>VLOOKUP(B606, Price_List!$A$3:$C$62, 3, FALSE)</f>
        <v>500</v>
      </c>
      <c r="J606" s="10" t="str">
        <f t="shared" si="37"/>
        <v>Within Range</v>
      </c>
      <c r="K606" s="10">
        <f t="shared" si="38"/>
        <v>0</v>
      </c>
    </row>
    <row r="607" spans="1:11" ht="15.6" x14ac:dyDescent="0.3">
      <c r="A607" s="9">
        <v>45833</v>
      </c>
      <c r="B607" s="3" t="s">
        <v>78</v>
      </c>
      <c r="C607" s="13">
        <v>300</v>
      </c>
      <c r="D607" s="3" t="s">
        <v>8</v>
      </c>
      <c r="E607" s="3" t="s">
        <v>60</v>
      </c>
      <c r="F607" s="10" t="str">
        <f t="shared" si="39"/>
        <v>Jun-2025</v>
      </c>
      <c r="G607" t="str">
        <f t="shared" si="36"/>
        <v>2025-06</v>
      </c>
      <c r="H607" s="10">
        <f>VLOOKUP(B607, Price_List!$A$3:$C$62, 2, FALSE)</f>
        <v>300</v>
      </c>
      <c r="I607" s="10">
        <f>VLOOKUP(B607, Price_List!$A$3:$C$62, 3, FALSE)</f>
        <v>500</v>
      </c>
      <c r="J607" s="10" t="str">
        <f t="shared" si="37"/>
        <v>Within Range</v>
      </c>
      <c r="K607" s="10">
        <f t="shared" si="38"/>
        <v>0</v>
      </c>
    </row>
    <row r="608" spans="1:11" ht="15.6" x14ac:dyDescent="0.3">
      <c r="A608" s="9">
        <v>45835</v>
      </c>
      <c r="B608" s="3" t="s">
        <v>124</v>
      </c>
      <c r="C608" s="13">
        <v>500</v>
      </c>
      <c r="D608" s="3" t="s">
        <v>8</v>
      </c>
      <c r="E608" s="3" t="s">
        <v>60</v>
      </c>
      <c r="F608" s="10" t="str">
        <f t="shared" si="39"/>
        <v>Jun-2025</v>
      </c>
      <c r="G608" t="str">
        <f t="shared" si="36"/>
        <v>2025-06</v>
      </c>
      <c r="H608" s="10">
        <f>VLOOKUP(B608, Price_List!$A$3:$C$62, 2, FALSE)</f>
        <v>500</v>
      </c>
      <c r="I608" s="10">
        <f>VLOOKUP(B608, Price_List!$A$3:$C$62, 3, FALSE)</f>
        <v>500</v>
      </c>
      <c r="J608" s="10" t="str">
        <f t="shared" si="37"/>
        <v>Within Range</v>
      </c>
      <c r="K608" s="10">
        <f t="shared" si="38"/>
        <v>0</v>
      </c>
    </row>
    <row r="609" spans="1:11" ht="15.6" x14ac:dyDescent="0.3">
      <c r="A609" s="9">
        <v>45838</v>
      </c>
      <c r="B609" s="3" t="s">
        <v>5</v>
      </c>
      <c r="C609" s="13">
        <v>60</v>
      </c>
      <c r="D609" s="3" t="s">
        <v>8</v>
      </c>
      <c r="E609" s="3" t="s">
        <v>7</v>
      </c>
      <c r="F609" s="10" t="str">
        <f t="shared" si="39"/>
        <v>Jun-2025</v>
      </c>
      <c r="G609" t="str">
        <f t="shared" si="36"/>
        <v>2025-06</v>
      </c>
      <c r="H609" s="10">
        <f>VLOOKUP(B609, Price_List!$A$3:$C$62, 2, FALSE)</f>
        <v>60</v>
      </c>
      <c r="I609" s="10">
        <f>VLOOKUP(B609, Price_List!$A$3:$C$62, 3, FALSE)</f>
        <v>70</v>
      </c>
      <c r="J609" s="10" t="str">
        <f t="shared" si="37"/>
        <v>Within Range</v>
      </c>
      <c r="K609" s="10">
        <f t="shared" si="38"/>
        <v>0</v>
      </c>
    </row>
    <row r="610" spans="1:11" ht="15.6" x14ac:dyDescent="0.3">
      <c r="A610" s="9">
        <v>45838</v>
      </c>
      <c r="B610" s="3" t="s">
        <v>5</v>
      </c>
      <c r="C610" s="13">
        <v>60</v>
      </c>
      <c r="D610" s="3" t="s">
        <v>8</v>
      </c>
      <c r="E610" s="3" t="s">
        <v>7</v>
      </c>
      <c r="F610" s="10" t="str">
        <f t="shared" si="39"/>
        <v>Jun-2025</v>
      </c>
      <c r="G610" t="str">
        <f t="shared" si="36"/>
        <v>2025-06</v>
      </c>
      <c r="H610" s="10">
        <f>VLOOKUP(B610, Price_List!$A$3:$C$62, 2, FALSE)</f>
        <v>60</v>
      </c>
      <c r="I610" s="10">
        <f>VLOOKUP(B610, Price_List!$A$3:$C$62, 3, FALSE)</f>
        <v>70</v>
      </c>
      <c r="J610" s="10" t="str">
        <f t="shared" si="37"/>
        <v>Within Range</v>
      </c>
      <c r="K610" s="10">
        <f t="shared" si="38"/>
        <v>0</v>
      </c>
    </row>
    <row r="611" spans="1:11" ht="15.6" x14ac:dyDescent="0.3">
      <c r="A611" s="9">
        <v>45835</v>
      </c>
      <c r="B611" s="3" t="s">
        <v>124</v>
      </c>
      <c r="C611" s="13">
        <v>500</v>
      </c>
      <c r="D611" s="3" t="s">
        <v>8</v>
      </c>
      <c r="E611" s="3" t="s">
        <v>60</v>
      </c>
      <c r="F611" s="10" t="str">
        <f t="shared" si="39"/>
        <v>Jun-2025</v>
      </c>
      <c r="G611" t="str">
        <f t="shared" si="36"/>
        <v>2025-06</v>
      </c>
      <c r="H611" s="10">
        <f>VLOOKUP(B611, Price_List!$A$3:$C$62, 2, FALSE)</f>
        <v>500</v>
      </c>
      <c r="I611" s="10">
        <f>VLOOKUP(B611, Price_List!$A$3:$C$62, 3, FALSE)</f>
        <v>500</v>
      </c>
      <c r="J611" s="10" t="str">
        <f t="shared" si="37"/>
        <v>Within Range</v>
      </c>
      <c r="K611" s="10">
        <f t="shared" si="38"/>
        <v>0</v>
      </c>
    </row>
  </sheetData>
  <sortState xmlns:xlrd2="http://schemas.microsoft.com/office/spreadsheetml/2017/richdata2" ref="A2:E610">
    <sortCondition ref="A2:A6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C21C-4764-4C6D-B3B5-3934C993D540}">
  <dimension ref="A1:AR208"/>
  <sheetViews>
    <sheetView tabSelected="1" zoomScale="95" zoomScaleNormal="117" workbookViewId="0">
      <selection activeCell="W35" sqref="W35"/>
    </sheetView>
  </sheetViews>
  <sheetFormatPr defaultRowHeight="14.4" x14ac:dyDescent="0.3"/>
  <cols>
    <col min="1" max="1" width="20.21875" customWidth="1"/>
    <col min="2" max="2" width="15.5546875" customWidth="1"/>
    <col min="3" max="3" width="3.33203125" customWidth="1"/>
    <col min="4" max="4" width="18" customWidth="1"/>
    <col min="5" max="5" width="16.77734375" bestFit="1" customWidth="1"/>
    <col min="6" max="6" width="16.109375" customWidth="1"/>
    <col min="7" max="7" width="13.6640625" bestFit="1" customWidth="1"/>
    <col min="8" max="8" width="19" customWidth="1"/>
    <col min="9" max="9" width="23.88671875" customWidth="1"/>
    <col min="10" max="10" width="15.5546875" customWidth="1"/>
    <col min="11" max="11" width="15.6640625" customWidth="1"/>
    <col min="12" max="12" width="20.44140625" customWidth="1"/>
    <col min="13" max="13" width="17.21875" customWidth="1"/>
    <col min="14" max="14" width="20" customWidth="1"/>
    <col min="15" max="15" width="16.77734375" bestFit="1" customWidth="1"/>
    <col min="16" max="16" width="13.109375" customWidth="1"/>
    <col min="17" max="17" width="12.44140625" bestFit="1" customWidth="1"/>
    <col min="18" max="18" width="12.44140625" customWidth="1"/>
    <col min="20" max="20" width="13" customWidth="1"/>
    <col min="21" max="21" width="16.77734375" bestFit="1" customWidth="1"/>
    <col min="22" max="22" width="10.6640625" bestFit="1" customWidth="1"/>
    <col min="23" max="23" width="12.44140625" bestFit="1" customWidth="1"/>
    <col min="24" max="24" width="13.21875" customWidth="1"/>
    <col min="25" max="25" width="10.109375" customWidth="1"/>
    <col min="26" max="26" width="23.6640625" customWidth="1"/>
    <col min="27" max="27" width="11.6640625" customWidth="1"/>
    <col min="28" max="28" width="10.77734375" bestFit="1" customWidth="1"/>
    <col min="30" max="30" width="18" bestFit="1" customWidth="1"/>
    <col min="31" max="31" width="22.109375" customWidth="1"/>
    <col min="32" max="32" width="17.109375" customWidth="1"/>
    <col min="33" max="33" width="14" customWidth="1"/>
    <col min="35" max="35" width="18.77734375" bestFit="1" customWidth="1"/>
    <col min="36" max="36" width="18.21875" customWidth="1"/>
    <col min="37" max="37" width="17.77734375" bestFit="1" customWidth="1"/>
    <col min="38" max="38" width="12.21875" bestFit="1" customWidth="1"/>
    <col min="39" max="39" width="12.77734375" customWidth="1"/>
    <col min="40" max="40" width="11" customWidth="1"/>
    <col min="41" max="41" width="10.5546875" bestFit="1" customWidth="1"/>
    <col min="42" max="42" width="17.77734375" bestFit="1" customWidth="1"/>
    <col min="43" max="43" width="12.21875" bestFit="1" customWidth="1"/>
    <col min="44" max="44" width="15.109375" customWidth="1"/>
  </cols>
  <sheetData>
    <row r="1" spans="1:44" ht="15.6" x14ac:dyDescent="0.3">
      <c r="A1" s="72" t="s">
        <v>150</v>
      </c>
      <c r="B1" s="72"/>
      <c r="C1" s="3"/>
      <c r="D1" s="72" t="s">
        <v>156</v>
      </c>
      <c r="E1" s="72"/>
      <c r="F1" s="72"/>
      <c r="G1" s="65"/>
      <c r="I1" s="78" t="s">
        <v>60</v>
      </c>
      <c r="J1" s="78"/>
      <c r="K1" s="78"/>
      <c r="L1" s="78"/>
      <c r="M1" s="27"/>
      <c r="N1" s="73" t="s">
        <v>162</v>
      </c>
      <c r="O1" s="74"/>
      <c r="P1" s="74"/>
      <c r="Q1" s="74"/>
      <c r="R1" s="75"/>
      <c r="T1" s="73" t="s">
        <v>206</v>
      </c>
      <c r="U1" s="74"/>
      <c r="V1" s="74"/>
      <c r="W1" s="74"/>
      <c r="X1" s="75"/>
      <c r="Y1" s="63"/>
      <c r="Z1" s="69" t="s">
        <v>185</v>
      </c>
      <c r="AA1" s="70"/>
      <c r="AB1" s="70"/>
      <c r="AC1" s="71"/>
      <c r="AD1" s="64"/>
      <c r="AE1" s="69" t="s">
        <v>186</v>
      </c>
      <c r="AF1" s="70"/>
      <c r="AG1" s="70"/>
      <c r="AH1" s="71"/>
      <c r="AJ1" s="72" t="s">
        <v>199</v>
      </c>
      <c r="AK1" s="72"/>
      <c r="AL1" s="72"/>
      <c r="AM1" s="72"/>
      <c r="AO1" s="72" t="s">
        <v>200</v>
      </c>
      <c r="AP1" s="72"/>
      <c r="AQ1" s="72"/>
      <c r="AR1" s="72"/>
    </row>
    <row r="2" spans="1:44" ht="15.6" x14ac:dyDescent="0.3">
      <c r="A2" s="16" t="s">
        <v>142</v>
      </c>
      <c r="B2" s="16">
        <v>214780</v>
      </c>
      <c r="C2" s="3"/>
      <c r="D2" s="14" t="s">
        <v>154</v>
      </c>
      <c r="E2" s="52" t="s">
        <v>205</v>
      </c>
      <c r="F2" s="14" t="s">
        <v>155</v>
      </c>
      <c r="G2" s="17" t="s">
        <v>157</v>
      </c>
      <c r="I2" s="14" t="s">
        <v>154</v>
      </c>
      <c r="J2" s="54" t="s">
        <v>205</v>
      </c>
      <c r="K2" s="14" t="s">
        <v>155</v>
      </c>
      <c r="L2" s="17" t="s">
        <v>157</v>
      </c>
      <c r="N2" s="12" t="s">
        <v>158</v>
      </c>
      <c r="O2" s="12" t="s">
        <v>141</v>
      </c>
      <c r="P2" s="12" t="s">
        <v>155</v>
      </c>
      <c r="Q2" s="12" t="s">
        <v>159</v>
      </c>
      <c r="R2" s="12" t="s">
        <v>160</v>
      </c>
      <c r="S2" s="22"/>
      <c r="T2" s="12" t="s">
        <v>161</v>
      </c>
      <c r="U2" s="12" t="s">
        <v>141</v>
      </c>
      <c r="V2" s="12" t="s">
        <v>155</v>
      </c>
      <c r="W2" s="12" t="s">
        <v>159</v>
      </c>
      <c r="X2" s="12" t="s">
        <v>160</v>
      </c>
      <c r="Z2" s="31" t="s">
        <v>140</v>
      </c>
      <c r="AA2" s="31" t="s">
        <v>6</v>
      </c>
      <c r="AB2" s="31" t="s">
        <v>8</v>
      </c>
      <c r="AC2" s="31" t="s">
        <v>153</v>
      </c>
      <c r="AE2" s="33" t="s">
        <v>140</v>
      </c>
      <c r="AF2" s="33" t="s">
        <v>6</v>
      </c>
      <c r="AG2" s="33" t="s">
        <v>8</v>
      </c>
      <c r="AH2" s="33" t="s">
        <v>153</v>
      </c>
      <c r="AJ2" s="31" t="s">
        <v>196</v>
      </c>
      <c r="AK2" s="31" t="s">
        <v>192</v>
      </c>
      <c r="AL2" s="31" t="s">
        <v>194</v>
      </c>
      <c r="AM2" s="31" t="s">
        <v>193</v>
      </c>
      <c r="AO2" s="30" t="s">
        <v>196</v>
      </c>
      <c r="AP2" s="30" t="s">
        <v>192</v>
      </c>
      <c r="AQ2" s="30" t="s">
        <v>194</v>
      </c>
      <c r="AR2" s="30" t="s">
        <v>193</v>
      </c>
    </row>
    <row r="3" spans="1:44" ht="15.6" x14ac:dyDescent="0.3">
      <c r="A3" s="16" t="s">
        <v>146</v>
      </c>
      <c r="B3" s="16">
        <v>407.55218216318787</v>
      </c>
      <c r="C3" s="3"/>
      <c r="D3" s="14" t="s">
        <v>14</v>
      </c>
      <c r="E3" s="53">
        <f>F3*$B$2</f>
        <v>40350</v>
      </c>
      <c r="F3" s="21">
        <v>0.18786665425086135</v>
      </c>
      <c r="G3" s="21">
        <f>F3</f>
        <v>0.18786665425086135</v>
      </c>
      <c r="I3" s="14" t="s">
        <v>122</v>
      </c>
      <c r="J3" s="54">
        <f>K3*$B$22</f>
        <v>15200</v>
      </c>
      <c r="K3" s="21">
        <v>0.38549327922901344</v>
      </c>
      <c r="L3" s="21">
        <f>K3</f>
        <v>0.38549327922901344</v>
      </c>
      <c r="M3" s="20"/>
      <c r="N3" s="12" t="s">
        <v>14</v>
      </c>
      <c r="O3" s="12">
        <v>40350</v>
      </c>
      <c r="P3" s="23">
        <f t="shared" ref="P3:P45" si="0">O3/$O$46</f>
        <v>0.18786665425086135</v>
      </c>
      <c r="Q3" s="23">
        <f>P3</f>
        <v>0.18786665425086135</v>
      </c>
      <c r="R3" s="23" t="str">
        <f>IF(Q3&lt;=70%,"A",IF(Q3&lt;=90%,"B","C"))</f>
        <v>A</v>
      </c>
      <c r="T3" s="14" t="s">
        <v>122</v>
      </c>
      <c r="U3" s="17">
        <v>15200</v>
      </c>
      <c r="V3" s="21">
        <f t="shared" ref="V3:V16" si="1">U3/$U$18</f>
        <v>0.38549327922901344</v>
      </c>
      <c r="W3" s="21">
        <f>V3</f>
        <v>0.38549327922901344</v>
      </c>
      <c r="X3" s="16" t="str">
        <f>IF(W3&lt;=70%,"A",IF(W3&lt;=90%,"B","C"))</f>
        <v>A</v>
      </c>
      <c r="Z3" s="12" t="s">
        <v>5</v>
      </c>
      <c r="AA3" s="12">
        <v>48</v>
      </c>
      <c r="AB3" s="12">
        <v>151</v>
      </c>
      <c r="AC3" s="12">
        <v>199</v>
      </c>
      <c r="AE3" s="41" t="s">
        <v>59</v>
      </c>
      <c r="AF3" s="41">
        <v>8</v>
      </c>
      <c r="AG3" s="41">
        <v>7</v>
      </c>
      <c r="AH3" s="41">
        <v>15</v>
      </c>
      <c r="AJ3" s="42" t="s">
        <v>5</v>
      </c>
      <c r="AK3" s="42">
        <v>39</v>
      </c>
      <c r="AL3" s="42">
        <v>79</v>
      </c>
      <c r="AM3" s="42">
        <v>81</v>
      </c>
      <c r="AO3" s="34" t="s">
        <v>63</v>
      </c>
      <c r="AP3" s="35"/>
      <c r="AQ3" s="35">
        <v>1</v>
      </c>
      <c r="AR3" s="35"/>
    </row>
    <row r="4" spans="1:44" ht="15.6" x14ac:dyDescent="0.3">
      <c r="A4" s="16" t="s">
        <v>147</v>
      </c>
      <c r="B4" s="16">
        <v>250</v>
      </c>
      <c r="C4" s="3"/>
      <c r="D4" s="14" t="s">
        <v>5</v>
      </c>
      <c r="E4" s="53">
        <f t="shared" ref="E4:E45" si="2">F4*$B$2</f>
        <v>13820</v>
      </c>
      <c r="F4" s="21">
        <v>6.4344911071794395E-2</v>
      </c>
      <c r="G4" s="21">
        <f>G3+F4</f>
        <v>0.25221156532265576</v>
      </c>
      <c r="I4" s="14" t="s">
        <v>119</v>
      </c>
      <c r="J4" s="54">
        <f t="shared" ref="J4:J16" si="3">K4*$B$22</f>
        <v>6345.0000000000009</v>
      </c>
      <c r="K4" s="21">
        <v>0.16091808267816385</v>
      </c>
      <c r="L4" s="21">
        <f>L3+K4</f>
        <v>0.54641136190717732</v>
      </c>
      <c r="M4" s="20"/>
      <c r="N4" s="12" t="s">
        <v>5</v>
      </c>
      <c r="O4" s="12">
        <v>13820</v>
      </c>
      <c r="P4" s="23">
        <f t="shared" si="0"/>
        <v>6.4344911071794395E-2</v>
      </c>
      <c r="Q4" s="23">
        <f>Q3+P4</f>
        <v>0.25221156532265576</v>
      </c>
      <c r="R4" s="23" t="str">
        <f t="shared" ref="R4:R45" si="4">IF(Q4&lt;=70%,"A",IF(Q4&lt;=90%,"B","C"))</f>
        <v>A</v>
      </c>
      <c r="T4" s="14" t="s">
        <v>119</v>
      </c>
      <c r="U4" s="17">
        <v>6345</v>
      </c>
      <c r="V4" s="21">
        <f t="shared" si="1"/>
        <v>0.16091808267816385</v>
      </c>
      <c r="W4" s="21">
        <f>W3+V4</f>
        <v>0.54641136190717732</v>
      </c>
      <c r="X4" s="16" t="str">
        <f t="shared" ref="X4:X16" si="5">IF(W4&lt;=70%,"A",IF(W4&lt;=90%,"B","C"))</f>
        <v>A</v>
      </c>
      <c r="Z4" s="12" t="s">
        <v>36</v>
      </c>
      <c r="AA4" s="12">
        <v>6</v>
      </c>
      <c r="AB4" s="12">
        <v>41</v>
      </c>
      <c r="AC4" s="12">
        <v>47</v>
      </c>
      <c r="AE4" s="41" t="s">
        <v>123</v>
      </c>
      <c r="AF4" s="41">
        <v>6</v>
      </c>
      <c r="AG4" s="41">
        <v>1</v>
      </c>
      <c r="AH4" s="41">
        <v>7</v>
      </c>
      <c r="AJ4" s="42" t="s">
        <v>14</v>
      </c>
      <c r="AK4" s="42">
        <v>2</v>
      </c>
      <c r="AL4" s="42">
        <v>29</v>
      </c>
      <c r="AM4" s="42">
        <v>18</v>
      </c>
      <c r="AO4" s="34" t="s">
        <v>119</v>
      </c>
      <c r="AP4" s="35">
        <v>6</v>
      </c>
      <c r="AQ4" s="35">
        <v>1</v>
      </c>
      <c r="AR4" s="35">
        <v>12</v>
      </c>
    </row>
    <row r="5" spans="1:44" ht="15.6" x14ac:dyDescent="0.3">
      <c r="A5" s="16" t="s">
        <v>143</v>
      </c>
      <c r="B5" s="16">
        <v>40</v>
      </c>
      <c r="C5" s="3"/>
      <c r="D5" s="14" t="s">
        <v>104</v>
      </c>
      <c r="E5" s="53">
        <f t="shared" si="2"/>
        <v>12130</v>
      </c>
      <c r="F5" s="21">
        <v>5.6476394450135019E-2</v>
      </c>
      <c r="G5" s="21">
        <f t="shared" ref="G5:G45" si="6">G4+F5</f>
        <v>0.30868795977279079</v>
      </c>
      <c r="I5" s="14" t="s">
        <v>124</v>
      </c>
      <c r="J5" s="54">
        <f t="shared" si="3"/>
        <v>5500</v>
      </c>
      <c r="K5" s="21">
        <v>0.13948769972102459</v>
      </c>
      <c r="L5" s="21">
        <f t="shared" ref="L5:L16" si="7">L4+K5</f>
        <v>0.68589906162820191</v>
      </c>
      <c r="M5" s="20"/>
      <c r="N5" s="12" t="s">
        <v>104</v>
      </c>
      <c r="O5" s="12">
        <v>12130</v>
      </c>
      <c r="P5" s="23">
        <f t="shared" si="0"/>
        <v>5.6476394450135019E-2</v>
      </c>
      <c r="Q5" s="23">
        <f t="shared" ref="Q5:Q16" si="8">Q4+P5</f>
        <v>0.30868795977279079</v>
      </c>
      <c r="R5" s="23" t="str">
        <f t="shared" si="4"/>
        <v>A</v>
      </c>
      <c r="T5" s="14" t="s">
        <v>124</v>
      </c>
      <c r="U5" s="17">
        <v>5500</v>
      </c>
      <c r="V5" s="21">
        <f t="shared" si="1"/>
        <v>0.13948769972102459</v>
      </c>
      <c r="W5" s="21">
        <f t="shared" ref="W5:W16" si="9">W4+V5</f>
        <v>0.68589906162820191</v>
      </c>
      <c r="X5" s="16" t="str">
        <f t="shared" si="5"/>
        <v>A</v>
      </c>
      <c r="Z5" s="12" t="s">
        <v>11</v>
      </c>
      <c r="AA5" s="12">
        <v>5</v>
      </c>
      <c r="AB5" s="12">
        <v>13</v>
      </c>
      <c r="AC5" s="12">
        <v>18</v>
      </c>
      <c r="AE5" s="41" t="s">
        <v>119</v>
      </c>
      <c r="AF5" s="41">
        <v>6</v>
      </c>
      <c r="AG5" s="41">
        <v>13</v>
      </c>
      <c r="AH5" s="41">
        <v>19</v>
      </c>
      <c r="AJ5" s="42" t="s">
        <v>18</v>
      </c>
      <c r="AK5" s="42">
        <v>1</v>
      </c>
      <c r="AL5" s="42">
        <v>12</v>
      </c>
      <c r="AM5" s="42">
        <v>6</v>
      </c>
      <c r="AO5" s="34" t="s">
        <v>59</v>
      </c>
      <c r="AP5" s="35">
        <v>3</v>
      </c>
      <c r="AQ5" s="35">
        <v>1</v>
      </c>
      <c r="AR5" s="35">
        <v>11</v>
      </c>
    </row>
    <row r="6" spans="1:44" ht="15.6" x14ac:dyDescent="0.3">
      <c r="A6" s="16" t="s">
        <v>144</v>
      </c>
      <c r="B6" s="16">
        <v>7000</v>
      </c>
      <c r="C6" s="3"/>
      <c r="D6" s="14" t="s">
        <v>18</v>
      </c>
      <c r="E6" s="53">
        <f t="shared" si="2"/>
        <v>9760</v>
      </c>
      <c r="F6" s="21">
        <v>4.5441847471831644E-2</v>
      </c>
      <c r="G6" s="21">
        <f t="shared" si="6"/>
        <v>0.35412980724462245</v>
      </c>
      <c r="I6" s="14" t="s">
        <v>78</v>
      </c>
      <c r="J6" s="54">
        <f t="shared" si="3"/>
        <v>2650</v>
      </c>
      <c r="K6" s="21">
        <v>6.7207709865584581E-2</v>
      </c>
      <c r="L6" s="21">
        <f t="shared" si="7"/>
        <v>0.75310677149378646</v>
      </c>
      <c r="M6" s="20"/>
      <c r="N6" s="12" t="s">
        <v>18</v>
      </c>
      <c r="O6" s="12">
        <v>9760</v>
      </c>
      <c r="P6" s="23">
        <f t="shared" si="0"/>
        <v>4.5441847471831644E-2</v>
      </c>
      <c r="Q6" s="23">
        <f t="shared" si="8"/>
        <v>0.35412980724462245</v>
      </c>
      <c r="R6" s="23" t="str">
        <f t="shared" si="4"/>
        <v>A</v>
      </c>
      <c r="T6" s="14" t="s">
        <v>78</v>
      </c>
      <c r="U6" s="17">
        <v>2650</v>
      </c>
      <c r="V6" s="21">
        <f t="shared" si="1"/>
        <v>6.7207709865584581E-2</v>
      </c>
      <c r="W6" s="21">
        <f t="shared" si="9"/>
        <v>0.75310677149378646</v>
      </c>
      <c r="X6" s="16" t="str">
        <f t="shared" si="5"/>
        <v>B</v>
      </c>
      <c r="Z6" s="12" t="s">
        <v>105</v>
      </c>
      <c r="AA6" s="12">
        <v>4</v>
      </c>
      <c r="AB6" s="12">
        <v>5</v>
      </c>
      <c r="AC6" s="12">
        <v>9</v>
      </c>
      <c r="AE6" s="41" t="s">
        <v>125</v>
      </c>
      <c r="AF6" s="41">
        <v>5</v>
      </c>
      <c r="AG6" s="41"/>
      <c r="AH6" s="41">
        <v>5</v>
      </c>
      <c r="AJ6" s="42" t="s">
        <v>104</v>
      </c>
      <c r="AK6" s="42"/>
      <c r="AL6" s="42">
        <v>12</v>
      </c>
      <c r="AM6" s="42">
        <v>14</v>
      </c>
      <c r="AO6" s="34" t="s">
        <v>129</v>
      </c>
      <c r="AP6" s="35"/>
      <c r="AQ6" s="35">
        <v>1</v>
      </c>
      <c r="AR6" s="35">
        <v>1</v>
      </c>
    </row>
    <row r="7" spans="1:44" ht="15.6" x14ac:dyDescent="0.3">
      <c r="A7" s="16" t="s">
        <v>145</v>
      </c>
      <c r="B7" s="16">
        <v>531.01943409079786</v>
      </c>
      <c r="C7" s="3"/>
      <c r="D7" s="14" t="s">
        <v>105</v>
      </c>
      <c r="E7" s="53">
        <f t="shared" si="2"/>
        <v>9500</v>
      </c>
      <c r="F7" s="21">
        <v>4.4231306453114815E-2</v>
      </c>
      <c r="G7" s="21">
        <f t="shared" si="6"/>
        <v>0.39836111369773725</v>
      </c>
      <c r="I7" s="14" t="s">
        <v>59</v>
      </c>
      <c r="J7" s="54">
        <f t="shared" si="3"/>
        <v>2010</v>
      </c>
      <c r="K7" s="21">
        <v>5.097641389804717E-2</v>
      </c>
      <c r="L7" s="21">
        <f t="shared" si="7"/>
        <v>0.80408318539183365</v>
      </c>
      <c r="M7" s="20"/>
      <c r="N7" s="12" t="s">
        <v>105</v>
      </c>
      <c r="O7" s="12">
        <v>9500</v>
      </c>
      <c r="P7" s="23">
        <f t="shared" si="0"/>
        <v>4.4231306453114815E-2</v>
      </c>
      <c r="Q7" s="23">
        <f t="shared" si="8"/>
        <v>0.39836111369773725</v>
      </c>
      <c r="R7" s="23" t="str">
        <f t="shared" si="4"/>
        <v>A</v>
      </c>
      <c r="T7" s="14" t="s">
        <v>59</v>
      </c>
      <c r="U7" s="17">
        <v>2010</v>
      </c>
      <c r="V7" s="21">
        <f t="shared" si="1"/>
        <v>5.097641389804717E-2</v>
      </c>
      <c r="W7" s="21">
        <f t="shared" si="9"/>
        <v>0.80408318539183365</v>
      </c>
      <c r="X7" s="16" t="str">
        <f t="shared" si="5"/>
        <v>B</v>
      </c>
      <c r="Z7" s="12" t="s">
        <v>14</v>
      </c>
      <c r="AA7" s="12">
        <v>4</v>
      </c>
      <c r="AB7" s="12">
        <v>45</v>
      </c>
      <c r="AC7" s="12">
        <v>49</v>
      </c>
      <c r="AE7" s="41" t="s">
        <v>122</v>
      </c>
      <c r="AF7" s="41">
        <v>5</v>
      </c>
      <c r="AG7" s="41">
        <v>1</v>
      </c>
      <c r="AH7" s="41">
        <v>6</v>
      </c>
      <c r="AJ7" s="42" t="s">
        <v>20</v>
      </c>
      <c r="AK7" s="42"/>
      <c r="AL7" s="42">
        <v>7</v>
      </c>
      <c r="AM7" s="42">
        <v>1</v>
      </c>
      <c r="AO7" s="34" t="s">
        <v>123</v>
      </c>
      <c r="AP7" s="35"/>
      <c r="AQ7" s="35"/>
      <c r="AR7" s="35">
        <v>7</v>
      </c>
    </row>
    <row r="8" spans="1:44" ht="15.6" x14ac:dyDescent="0.3">
      <c r="A8" s="16" t="s">
        <v>148</v>
      </c>
      <c r="B8" s="16">
        <v>527</v>
      </c>
      <c r="C8" s="3"/>
      <c r="D8" s="14" t="s">
        <v>120</v>
      </c>
      <c r="E8" s="53">
        <f t="shared" si="2"/>
        <v>8900</v>
      </c>
      <c r="F8" s="21">
        <v>4.1437750256075982E-2</v>
      </c>
      <c r="G8" s="21">
        <f t="shared" si="6"/>
        <v>0.43979886395381323</v>
      </c>
      <c r="I8" s="14" t="s">
        <v>123</v>
      </c>
      <c r="J8" s="54">
        <f t="shared" si="3"/>
        <v>1599.9999999999998</v>
      </c>
      <c r="K8" s="21">
        <v>4.0578239918843517E-2</v>
      </c>
      <c r="L8" s="21">
        <f t="shared" si="7"/>
        <v>0.84466142531067723</v>
      </c>
      <c r="M8" s="20"/>
      <c r="N8" s="12" t="s">
        <v>120</v>
      </c>
      <c r="O8" s="12">
        <v>8900</v>
      </c>
      <c r="P8" s="23">
        <f t="shared" si="0"/>
        <v>4.1437750256075982E-2</v>
      </c>
      <c r="Q8" s="23">
        <f t="shared" si="8"/>
        <v>0.43979886395381323</v>
      </c>
      <c r="R8" s="23" t="str">
        <f t="shared" si="4"/>
        <v>A</v>
      </c>
      <c r="T8" s="14" t="s">
        <v>123</v>
      </c>
      <c r="U8" s="17">
        <v>1600</v>
      </c>
      <c r="V8" s="21">
        <f t="shared" si="1"/>
        <v>4.0578239918843517E-2</v>
      </c>
      <c r="W8" s="21">
        <f t="shared" si="9"/>
        <v>0.84466142531067723</v>
      </c>
      <c r="X8" s="16" t="str">
        <f t="shared" si="5"/>
        <v>B</v>
      </c>
      <c r="Z8" s="12" t="s">
        <v>110</v>
      </c>
      <c r="AA8" s="12">
        <v>2</v>
      </c>
      <c r="AB8" s="12">
        <v>4</v>
      </c>
      <c r="AC8" s="12">
        <v>6</v>
      </c>
      <c r="AE8" s="41" t="s">
        <v>124</v>
      </c>
      <c r="AF8" s="41">
        <v>4</v>
      </c>
      <c r="AG8" s="41">
        <v>5</v>
      </c>
      <c r="AH8" s="41">
        <v>9</v>
      </c>
      <c r="AJ8" s="42" t="s">
        <v>16</v>
      </c>
      <c r="AK8" s="42"/>
      <c r="AL8" s="42">
        <v>6</v>
      </c>
      <c r="AM8" s="42">
        <v>4</v>
      </c>
      <c r="AO8" s="34" t="s">
        <v>126</v>
      </c>
      <c r="AP8" s="35">
        <v>4</v>
      </c>
      <c r="AQ8" s="35"/>
      <c r="AR8" s="35">
        <v>3</v>
      </c>
    </row>
    <row r="9" spans="1:44" ht="15.6" x14ac:dyDescent="0.3">
      <c r="A9" s="16" t="s">
        <v>149</v>
      </c>
      <c r="B9" s="16">
        <v>43</v>
      </c>
      <c r="C9" s="3"/>
      <c r="D9" s="14" t="s">
        <v>102</v>
      </c>
      <c r="E9" s="53">
        <f t="shared" si="2"/>
        <v>7500.0000000000009</v>
      </c>
      <c r="F9" s="21">
        <v>3.4919452462985383E-2</v>
      </c>
      <c r="G9" s="21">
        <f t="shared" si="6"/>
        <v>0.47471831641679862</v>
      </c>
      <c r="I9" s="14" t="s">
        <v>131</v>
      </c>
      <c r="J9" s="54">
        <f t="shared" si="3"/>
        <v>1050</v>
      </c>
      <c r="K9" s="21">
        <v>2.662946994674106E-2</v>
      </c>
      <c r="L9" s="21">
        <f t="shared" si="7"/>
        <v>0.87129089525741832</v>
      </c>
      <c r="M9" s="20"/>
      <c r="N9" s="12" t="s">
        <v>102</v>
      </c>
      <c r="O9" s="12">
        <v>7500</v>
      </c>
      <c r="P9" s="23">
        <f t="shared" si="0"/>
        <v>3.4919452462985383E-2</v>
      </c>
      <c r="Q9" s="23">
        <f t="shared" si="8"/>
        <v>0.47471831641679862</v>
      </c>
      <c r="R9" s="23" t="str">
        <f t="shared" si="4"/>
        <v>A</v>
      </c>
      <c r="T9" s="14" t="s">
        <v>131</v>
      </c>
      <c r="U9" s="17">
        <v>1050</v>
      </c>
      <c r="V9" s="21">
        <f t="shared" si="1"/>
        <v>2.662946994674106E-2</v>
      </c>
      <c r="W9" s="21">
        <f t="shared" si="9"/>
        <v>0.87129089525741832</v>
      </c>
      <c r="X9" s="16" t="str">
        <f t="shared" si="5"/>
        <v>B</v>
      </c>
      <c r="Z9" s="12" t="s">
        <v>19</v>
      </c>
      <c r="AA9" s="12">
        <v>2</v>
      </c>
      <c r="AB9" s="12">
        <v>4</v>
      </c>
      <c r="AC9" s="12">
        <v>6</v>
      </c>
      <c r="AE9" s="41" t="s">
        <v>126</v>
      </c>
      <c r="AF9" s="41">
        <v>2</v>
      </c>
      <c r="AG9" s="41">
        <v>5</v>
      </c>
      <c r="AH9" s="41">
        <v>7</v>
      </c>
      <c r="AJ9" s="42" t="s">
        <v>105</v>
      </c>
      <c r="AK9" s="42">
        <v>2</v>
      </c>
      <c r="AL9" s="42">
        <v>5</v>
      </c>
      <c r="AM9" s="42">
        <v>2</v>
      </c>
      <c r="AO9" s="34" t="s">
        <v>121</v>
      </c>
      <c r="AP9" s="35"/>
      <c r="AQ9" s="35"/>
      <c r="AR9" s="35">
        <v>1</v>
      </c>
    </row>
    <row r="10" spans="1:44" ht="15.6" x14ac:dyDescent="0.3">
      <c r="C10" s="3"/>
      <c r="D10" s="14" t="s">
        <v>20</v>
      </c>
      <c r="E10" s="53">
        <f t="shared" si="2"/>
        <v>7050</v>
      </c>
      <c r="F10" s="21">
        <v>3.2824285315206259E-2</v>
      </c>
      <c r="G10" s="21">
        <f t="shared" si="6"/>
        <v>0.50754260173200483</v>
      </c>
      <c r="I10" s="14" t="s">
        <v>121</v>
      </c>
      <c r="J10" s="54">
        <f t="shared" si="3"/>
        <v>1000.0000000000001</v>
      </c>
      <c r="K10" s="21">
        <v>2.5361399949277202E-2</v>
      </c>
      <c r="L10" s="21">
        <f t="shared" si="7"/>
        <v>0.89665229520669554</v>
      </c>
      <c r="M10" s="20"/>
      <c r="N10" s="12" t="s">
        <v>20</v>
      </c>
      <c r="O10" s="12">
        <v>7050</v>
      </c>
      <c r="P10" s="23">
        <f t="shared" si="0"/>
        <v>3.2824285315206259E-2</v>
      </c>
      <c r="Q10" s="23">
        <f t="shared" si="8"/>
        <v>0.50754260173200483</v>
      </c>
      <c r="R10" s="23" t="str">
        <f t="shared" si="4"/>
        <v>A</v>
      </c>
      <c r="T10" s="14" t="s">
        <v>121</v>
      </c>
      <c r="U10" s="17">
        <v>1000</v>
      </c>
      <c r="V10" s="21">
        <f t="shared" si="1"/>
        <v>2.5361399949277202E-2</v>
      </c>
      <c r="W10" s="21">
        <f t="shared" si="9"/>
        <v>0.89665229520669554</v>
      </c>
      <c r="X10" s="16" t="str">
        <f t="shared" si="5"/>
        <v>B</v>
      </c>
      <c r="Z10" s="12" t="s">
        <v>108</v>
      </c>
      <c r="AA10" s="12">
        <v>2</v>
      </c>
      <c r="AB10" s="12"/>
      <c r="AC10" s="12">
        <v>2</v>
      </c>
      <c r="AE10" s="41" t="s">
        <v>69</v>
      </c>
      <c r="AF10" s="41">
        <v>1</v>
      </c>
      <c r="AG10" s="41">
        <v>1</v>
      </c>
      <c r="AH10" s="41">
        <v>2</v>
      </c>
      <c r="AJ10" s="42" t="s">
        <v>12</v>
      </c>
      <c r="AK10" s="42"/>
      <c r="AL10" s="42">
        <v>5</v>
      </c>
      <c r="AM10" s="42">
        <v>9</v>
      </c>
      <c r="AO10" s="34" t="s">
        <v>125</v>
      </c>
      <c r="AP10" s="35"/>
      <c r="AQ10" s="35"/>
      <c r="AR10" s="35">
        <v>5</v>
      </c>
    </row>
    <row r="11" spans="1:44" ht="15.6" x14ac:dyDescent="0.3">
      <c r="A11" s="72" t="s">
        <v>151</v>
      </c>
      <c r="B11" s="72"/>
      <c r="C11" s="3"/>
      <c r="D11" s="14" t="s">
        <v>42</v>
      </c>
      <c r="E11" s="53">
        <f t="shared" si="2"/>
        <v>7000.0000000000009</v>
      </c>
      <c r="F11" s="21">
        <v>3.2591488965453025E-2</v>
      </c>
      <c r="G11" s="21">
        <f t="shared" si="6"/>
        <v>0.54013409069745788</v>
      </c>
      <c r="I11" s="14" t="s">
        <v>133</v>
      </c>
      <c r="J11" s="54">
        <f t="shared" si="3"/>
        <v>1000.0000000000001</v>
      </c>
      <c r="K11" s="21">
        <v>2.5361399949277202E-2</v>
      </c>
      <c r="L11" s="21">
        <f t="shared" si="7"/>
        <v>0.92201369515597276</v>
      </c>
      <c r="M11" s="20"/>
      <c r="N11" s="12" t="s">
        <v>42</v>
      </c>
      <c r="O11" s="12">
        <v>7000</v>
      </c>
      <c r="P11" s="23">
        <f t="shared" si="0"/>
        <v>3.2591488965453025E-2</v>
      </c>
      <c r="Q11" s="23">
        <f t="shared" si="8"/>
        <v>0.54013409069745788</v>
      </c>
      <c r="R11" s="23" t="str">
        <f t="shared" si="4"/>
        <v>A</v>
      </c>
      <c r="T11" s="14" t="s">
        <v>133</v>
      </c>
      <c r="U11" s="17">
        <v>1000</v>
      </c>
      <c r="V11" s="21">
        <f t="shared" si="1"/>
        <v>2.5361399949277202E-2</v>
      </c>
      <c r="W11" s="21">
        <f t="shared" si="9"/>
        <v>0.92201369515597276</v>
      </c>
      <c r="X11" s="16" t="str">
        <f t="shared" si="5"/>
        <v>C</v>
      </c>
      <c r="Z11" s="12" t="s">
        <v>103</v>
      </c>
      <c r="AA11" s="12">
        <v>2</v>
      </c>
      <c r="AB11" s="12">
        <v>7</v>
      </c>
      <c r="AC11" s="12">
        <v>9</v>
      </c>
      <c r="AE11" s="41" t="s">
        <v>63</v>
      </c>
      <c r="AF11" s="41">
        <v>1</v>
      </c>
      <c r="AG11" s="41"/>
      <c r="AH11" s="41">
        <v>1</v>
      </c>
      <c r="AJ11" s="42" t="s">
        <v>115</v>
      </c>
      <c r="AK11" s="42">
        <v>1</v>
      </c>
      <c r="AL11" s="42">
        <v>5</v>
      </c>
      <c r="AM11" s="42">
        <v>1</v>
      </c>
      <c r="AO11" s="34" t="s">
        <v>69</v>
      </c>
      <c r="AP11" s="35">
        <v>1</v>
      </c>
      <c r="AQ11" s="35"/>
      <c r="AR11" s="35">
        <v>1</v>
      </c>
    </row>
    <row r="12" spans="1:44" ht="15.6" x14ac:dyDescent="0.3">
      <c r="A12" s="17" t="s">
        <v>142</v>
      </c>
      <c r="B12" s="18">
        <v>88250</v>
      </c>
      <c r="C12" s="3"/>
      <c r="D12" s="14" t="s">
        <v>11</v>
      </c>
      <c r="E12" s="53">
        <f t="shared" si="2"/>
        <v>6989.9999999999991</v>
      </c>
      <c r="F12" s="21">
        <v>3.2544929695502371E-2</v>
      </c>
      <c r="G12" s="21">
        <f t="shared" si="6"/>
        <v>0.57267902039296026</v>
      </c>
      <c r="I12" s="14" t="s">
        <v>125</v>
      </c>
      <c r="J12" s="54">
        <f t="shared" si="3"/>
        <v>950</v>
      </c>
      <c r="K12" s="21">
        <v>2.409332995181334E-2</v>
      </c>
      <c r="L12" s="21">
        <f t="shared" si="7"/>
        <v>0.9461070251077861</v>
      </c>
      <c r="M12" s="20"/>
      <c r="N12" s="12" t="s">
        <v>11</v>
      </c>
      <c r="O12" s="12">
        <v>6990</v>
      </c>
      <c r="P12" s="23">
        <f t="shared" si="0"/>
        <v>3.2544929695502371E-2</v>
      </c>
      <c r="Q12" s="23">
        <f t="shared" si="8"/>
        <v>0.57267902039296026</v>
      </c>
      <c r="R12" s="23" t="str">
        <f t="shared" si="4"/>
        <v>A</v>
      </c>
      <c r="T12" s="14" t="s">
        <v>125</v>
      </c>
      <c r="U12" s="17">
        <v>950</v>
      </c>
      <c r="V12" s="21">
        <f t="shared" si="1"/>
        <v>2.409332995181334E-2</v>
      </c>
      <c r="W12" s="21">
        <f t="shared" si="9"/>
        <v>0.9461070251077861</v>
      </c>
      <c r="X12" s="16" t="str">
        <f t="shared" si="5"/>
        <v>C</v>
      </c>
      <c r="Z12" s="12" t="s">
        <v>120</v>
      </c>
      <c r="AA12" s="12">
        <v>2</v>
      </c>
      <c r="AB12" s="12">
        <v>7</v>
      </c>
      <c r="AC12" s="12">
        <v>9</v>
      </c>
      <c r="AE12" s="41" t="s">
        <v>78</v>
      </c>
      <c r="AF12" s="41">
        <v>1</v>
      </c>
      <c r="AG12" s="41">
        <v>6</v>
      </c>
      <c r="AH12" s="41">
        <v>7</v>
      </c>
      <c r="AJ12" s="42" t="s">
        <v>103</v>
      </c>
      <c r="AK12" s="42">
        <v>2</v>
      </c>
      <c r="AL12" s="42">
        <v>4</v>
      </c>
      <c r="AM12" s="42">
        <v>3</v>
      </c>
      <c r="AO12" s="34" t="s">
        <v>131</v>
      </c>
      <c r="AP12" s="35">
        <v>1</v>
      </c>
      <c r="AQ12" s="35"/>
      <c r="AR12" s="35"/>
    </row>
    <row r="13" spans="1:44" ht="15.6" x14ac:dyDescent="0.3">
      <c r="A13" s="17" t="s">
        <v>146</v>
      </c>
      <c r="B13" s="19">
        <v>428.39805825242718</v>
      </c>
      <c r="C13" s="3"/>
      <c r="D13" s="14" t="s">
        <v>103</v>
      </c>
      <c r="E13" s="53">
        <f t="shared" si="2"/>
        <v>6829.9999999999991</v>
      </c>
      <c r="F13" s="21">
        <v>3.1799981376292016E-2</v>
      </c>
      <c r="G13" s="21">
        <f t="shared" si="6"/>
        <v>0.60447900176925229</v>
      </c>
      <c r="I13" s="14" t="s">
        <v>69</v>
      </c>
      <c r="J13" s="54">
        <f t="shared" si="3"/>
        <v>780</v>
      </c>
      <c r="K13" s="21">
        <v>1.9781891960436216E-2</v>
      </c>
      <c r="L13" s="21">
        <f t="shared" si="7"/>
        <v>0.96588891706822233</v>
      </c>
      <c r="M13" s="20"/>
      <c r="N13" s="12" t="s">
        <v>103</v>
      </c>
      <c r="O13" s="12">
        <v>6830</v>
      </c>
      <c r="P13" s="23">
        <f t="shared" si="0"/>
        <v>3.1799981376292016E-2</v>
      </c>
      <c r="Q13" s="23">
        <f t="shared" si="8"/>
        <v>0.60447900176925229</v>
      </c>
      <c r="R13" s="23" t="str">
        <f t="shared" si="4"/>
        <v>A</v>
      </c>
      <c r="T13" s="14" t="s">
        <v>69</v>
      </c>
      <c r="U13" s="17">
        <v>780</v>
      </c>
      <c r="V13" s="21">
        <f t="shared" si="1"/>
        <v>1.9781891960436216E-2</v>
      </c>
      <c r="W13" s="21">
        <f t="shared" si="9"/>
        <v>0.96588891706822233</v>
      </c>
      <c r="X13" s="16" t="str">
        <f t="shared" si="5"/>
        <v>C</v>
      </c>
      <c r="Z13" s="12" t="s">
        <v>111</v>
      </c>
      <c r="AA13" s="12">
        <v>2</v>
      </c>
      <c r="AB13" s="12">
        <v>2</v>
      </c>
      <c r="AC13" s="12">
        <v>4</v>
      </c>
      <c r="AE13" s="41" t="s">
        <v>129</v>
      </c>
      <c r="AF13" s="41">
        <v>1</v>
      </c>
      <c r="AG13" s="41">
        <v>1</v>
      </c>
      <c r="AH13" s="41">
        <v>2</v>
      </c>
      <c r="AJ13" s="42" t="s">
        <v>22</v>
      </c>
      <c r="AK13" s="42"/>
      <c r="AL13" s="42">
        <v>4</v>
      </c>
      <c r="AM13" s="42">
        <v>4</v>
      </c>
      <c r="AO13" s="34" t="s">
        <v>78</v>
      </c>
      <c r="AP13" s="35">
        <v>1</v>
      </c>
      <c r="AQ13" s="35"/>
      <c r="AR13" s="35">
        <v>6</v>
      </c>
    </row>
    <row r="14" spans="1:44" ht="15.6" x14ac:dyDescent="0.3">
      <c r="A14" s="17" t="s">
        <v>147</v>
      </c>
      <c r="B14" s="19">
        <v>275</v>
      </c>
      <c r="C14" s="3"/>
      <c r="D14" s="14" t="s">
        <v>36</v>
      </c>
      <c r="E14" s="53">
        <f t="shared" si="2"/>
        <v>6450</v>
      </c>
      <c r="F14" s="21">
        <v>3.0030729118167426E-2</v>
      </c>
      <c r="G14" s="21">
        <f t="shared" si="6"/>
        <v>0.63450973088741969</v>
      </c>
      <c r="I14" s="14" t="s">
        <v>126</v>
      </c>
      <c r="J14" s="54">
        <f t="shared" si="3"/>
        <v>690</v>
      </c>
      <c r="K14" s="21">
        <v>1.7499365965001269E-2</v>
      </c>
      <c r="L14" s="21">
        <f t="shared" si="7"/>
        <v>0.98338828303322356</v>
      </c>
      <c r="M14" s="20"/>
      <c r="N14" s="12" t="s">
        <v>36</v>
      </c>
      <c r="O14" s="12">
        <v>6450</v>
      </c>
      <c r="P14" s="23">
        <f t="shared" si="0"/>
        <v>3.0030729118167426E-2</v>
      </c>
      <c r="Q14" s="23">
        <f t="shared" si="8"/>
        <v>0.63450973088741969</v>
      </c>
      <c r="R14" s="23" t="str">
        <f t="shared" si="4"/>
        <v>A</v>
      </c>
      <c r="T14" s="14" t="s">
        <v>126</v>
      </c>
      <c r="U14" s="17">
        <v>690</v>
      </c>
      <c r="V14" s="21">
        <f t="shared" si="1"/>
        <v>1.7499365965001269E-2</v>
      </c>
      <c r="W14" s="21">
        <f t="shared" si="9"/>
        <v>0.98338828303322356</v>
      </c>
      <c r="X14" s="16" t="str">
        <f t="shared" si="5"/>
        <v>C</v>
      </c>
      <c r="Z14" s="12" t="s">
        <v>31</v>
      </c>
      <c r="AA14" s="12">
        <v>2</v>
      </c>
      <c r="AB14" s="12">
        <v>2</v>
      </c>
      <c r="AC14" s="12">
        <v>4</v>
      </c>
      <c r="AE14" s="41" t="s">
        <v>131</v>
      </c>
      <c r="AF14" s="41"/>
      <c r="AG14" s="41">
        <v>1</v>
      </c>
      <c r="AH14" s="41">
        <v>1</v>
      </c>
      <c r="AJ14" s="42" t="s">
        <v>107</v>
      </c>
      <c r="AK14" s="42"/>
      <c r="AL14" s="42">
        <v>4</v>
      </c>
      <c r="AM14" s="42"/>
      <c r="AO14" s="34" t="s">
        <v>124</v>
      </c>
      <c r="AP14" s="35">
        <v>2</v>
      </c>
      <c r="AQ14" s="35"/>
      <c r="AR14" s="35">
        <v>7</v>
      </c>
    </row>
    <row r="15" spans="1:44" ht="15.6" x14ac:dyDescent="0.3">
      <c r="A15" s="17" t="s">
        <v>143</v>
      </c>
      <c r="B15" s="19">
        <v>40</v>
      </c>
      <c r="C15" s="3"/>
      <c r="D15" s="14" t="s">
        <v>115</v>
      </c>
      <c r="E15" s="53">
        <f t="shared" si="2"/>
        <v>5750</v>
      </c>
      <c r="F15" s="21">
        <v>2.6771580221622127E-2</v>
      </c>
      <c r="G15" s="21">
        <f t="shared" si="6"/>
        <v>0.66128131110904187</v>
      </c>
      <c r="I15" s="14" t="s">
        <v>63</v>
      </c>
      <c r="J15" s="54">
        <f t="shared" si="3"/>
        <v>399.99999999999994</v>
      </c>
      <c r="K15" s="21">
        <v>1.0144559979710879E-2</v>
      </c>
      <c r="L15" s="21">
        <f t="shared" si="7"/>
        <v>0.99353284301293443</v>
      </c>
      <c r="M15" s="20"/>
      <c r="N15" s="12" t="s">
        <v>115</v>
      </c>
      <c r="O15" s="12">
        <v>5750</v>
      </c>
      <c r="P15" s="23">
        <f t="shared" si="0"/>
        <v>2.6771580221622127E-2</v>
      </c>
      <c r="Q15" s="23">
        <f t="shared" si="8"/>
        <v>0.66128131110904187</v>
      </c>
      <c r="R15" s="23" t="str">
        <f t="shared" si="4"/>
        <v>A</v>
      </c>
      <c r="T15" s="14" t="s">
        <v>63</v>
      </c>
      <c r="U15" s="17">
        <v>400</v>
      </c>
      <c r="V15" s="21">
        <f t="shared" si="1"/>
        <v>1.0144559979710879E-2</v>
      </c>
      <c r="W15" s="21">
        <f t="shared" si="9"/>
        <v>0.99353284301293443</v>
      </c>
      <c r="X15" s="16" t="str">
        <f t="shared" si="5"/>
        <v>C</v>
      </c>
      <c r="Z15" s="12" t="s">
        <v>127</v>
      </c>
      <c r="AA15" s="12">
        <v>1</v>
      </c>
      <c r="AB15" s="12"/>
      <c r="AC15" s="12">
        <v>1</v>
      </c>
      <c r="AE15" s="41" t="s">
        <v>121</v>
      </c>
      <c r="AF15" s="41"/>
      <c r="AG15" s="41">
        <v>1</v>
      </c>
      <c r="AH15" s="41">
        <v>1</v>
      </c>
      <c r="AJ15" s="42" t="s">
        <v>11</v>
      </c>
      <c r="AK15" s="42">
        <v>1</v>
      </c>
      <c r="AL15" s="42">
        <v>3</v>
      </c>
      <c r="AM15" s="42">
        <v>14</v>
      </c>
      <c r="AO15" s="34" t="s">
        <v>122</v>
      </c>
      <c r="AP15" s="35"/>
      <c r="AQ15" s="35"/>
      <c r="AR15" s="35">
        <v>6</v>
      </c>
    </row>
    <row r="16" spans="1:44" ht="15.6" x14ac:dyDescent="0.3">
      <c r="A16" s="17" t="s">
        <v>144</v>
      </c>
      <c r="B16" s="19">
        <v>3600</v>
      </c>
      <c r="C16" s="3"/>
      <c r="D16" s="14" t="s">
        <v>44</v>
      </c>
      <c r="E16" s="53">
        <f t="shared" si="2"/>
        <v>5300</v>
      </c>
      <c r="F16" s="21">
        <v>2.4676413073843002E-2</v>
      </c>
      <c r="G16" s="21">
        <f t="shared" si="6"/>
        <v>0.68595772418288492</v>
      </c>
      <c r="I16" s="14" t="s">
        <v>129</v>
      </c>
      <c r="J16" s="54">
        <f t="shared" si="3"/>
        <v>255</v>
      </c>
      <c r="K16" s="21">
        <v>6.4671569870656861E-3</v>
      </c>
      <c r="L16" s="21">
        <f t="shared" si="7"/>
        <v>1.0000000000000002</v>
      </c>
      <c r="M16" s="20"/>
      <c r="N16" s="12" t="s">
        <v>44</v>
      </c>
      <c r="O16" s="12">
        <v>5300</v>
      </c>
      <c r="P16" s="23">
        <f t="shared" si="0"/>
        <v>2.4676413073843002E-2</v>
      </c>
      <c r="Q16" s="23">
        <f t="shared" si="8"/>
        <v>0.68595772418288492</v>
      </c>
      <c r="R16" s="23" t="str">
        <f t="shared" si="4"/>
        <v>A</v>
      </c>
      <c r="T16" s="14" t="s">
        <v>129</v>
      </c>
      <c r="U16" s="17">
        <v>255</v>
      </c>
      <c r="V16" s="21">
        <f t="shared" si="1"/>
        <v>6.4671569870656861E-3</v>
      </c>
      <c r="W16" s="21">
        <f t="shared" si="9"/>
        <v>1.0000000000000002</v>
      </c>
      <c r="X16" s="16" t="str">
        <f t="shared" si="5"/>
        <v>C</v>
      </c>
      <c r="Z16" s="12" t="s">
        <v>29</v>
      </c>
      <c r="AA16" s="12">
        <v>1</v>
      </c>
      <c r="AB16" s="12">
        <v>5</v>
      </c>
      <c r="AC16" s="12">
        <v>6</v>
      </c>
      <c r="AE16" s="41" t="s">
        <v>133</v>
      </c>
      <c r="AF16" s="41"/>
      <c r="AG16" s="41">
        <v>1</v>
      </c>
      <c r="AH16" s="41">
        <v>1</v>
      </c>
      <c r="AJ16" s="42" t="s">
        <v>56</v>
      </c>
      <c r="AK16" s="42">
        <v>1</v>
      </c>
      <c r="AL16" s="42">
        <v>3</v>
      </c>
      <c r="AM16" s="42"/>
      <c r="AO16" s="34" t="s">
        <v>133</v>
      </c>
      <c r="AP16" s="35"/>
      <c r="AQ16" s="35"/>
      <c r="AR16" s="35">
        <v>1</v>
      </c>
    </row>
    <row r="17" spans="1:44" ht="15.6" x14ac:dyDescent="0.3">
      <c r="A17" s="17" t="s">
        <v>145</v>
      </c>
      <c r="B17" s="19">
        <v>489.42560340107252</v>
      </c>
      <c r="C17" s="3"/>
      <c r="D17" s="14" t="s">
        <v>110</v>
      </c>
      <c r="E17" s="53">
        <f t="shared" si="2"/>
        <v>5270</v>
      </c>
      <c r="F17" s="21">
        <v>2.4536735263991062E-2</v>
      </c>
      <c r="G17" s="21">
        <f t="shared" si="6"/>
        <v>0.71049445944687595</v>
      </c>
      <c r="I17" s="8"/>
      <c r="J17" s="20"/>
      <c r="K17" s="20"/>
      <c r="N17" s="12" t="s">
        <v>110</v>
      </c>
      <c r="O17" s="12">
        <v>5270</v>
      </c>
      <c r="P17" s="23">
        <f t="shared" si="0"/>
        <v>2.4536735263991062E-2</v>
      </c>
      <c r="Q17" s="23">
        <f t="shared" ref="Q17:Q45" si="10">Q16+P17</f>
        <v>0.71049445944687595</v>
      </c>
      <c r="R17" s="23" t="str">
        <f t="shared" si="4"/>
        <v>B</v>
      </c>
      <c r="S17" s="10"/>
      <c r="T17" s="60"/>
      <c r="U17" s="17"/>
      <c r="V17" s="17"/>
      <c r="W17" s="17"/>
      <c r="X17" s="17"/>
      <c r="Z17" s="12" t="s">
        <v>13</v>
      </c>
      <c r="AA17" s="12">
        <v>1</v>
      </c>
      <c r="AB17" s="12">
        <v>7</v>
      </c>
      <c r="AC17" s="12">
        <v>8</v>
      </c>
      <c r="AE17" s="33" t="s">
        <v>153</v>
      </c>
      <c r="AF17" s="33">
        <f>SUM(AF3:AF16)</f>
        <v>40</v>
      </c>
      <c r="AG17" s="33">
        <f>SUM(AG3:AG16)</f>
        <v>43</v>
      </c>
      <c r="AH17" s="33">
        <f>SUM(AH3:AH16)</f>
        <v>83</v>
      </c>
      <c r="AJ17" s="42" t="s">
        <v>116</v>
      </c>
      <c r="AK17" s="42"/>
      <c r="AL17" s="42">
        <v>3</v>
      </c>
      <c r="AM17" s="42">
        <v>2</v>
      </c>
      <c r="AO17" s="37" t="s">
        <v>153</v>
      </c>
      <c r="AP17" s="30">
        <v>18</v>
      </c>
      <c r="AQ17" s="30">
        <v>4</v>
      </c>
      <c r="AR17" s="30">
        <v>61</v>
      </c>
    </row>
    <row r="18" spans="1:44" ht="15.6" x14ac:dyDescent="0.3">
      <c r="A18" s="17" t="s">
        <v>148</v>
      </c>
      <c r="B18" s="19">
        <v>206</v>
      </c>
      <c r="C18" s="3"/>
      <c r="D18" s="14" t="s">
        <v>116</v>
      </c>
      <c r="E18" s="53">
        <f t="shared" si="2"/>
        <v>5160</v>
      </c>
      <c r="F18" s="21">
        <v>2.4024583294533941E-2</v>
      </c>
      <c r="G18" s="21">
        <f t="shared" si="6"/>
        <v>0.73451904274140989</v>
      </c>
      <c r="I18" s="74" t="s">
        <v>182</v>
      </c>
      <c r="J18" s="74"/>
      <c r="K18" s="74"/>
      <c r="N18" s="12" t="s">
        <v>116</v>
      </c>
      <c r="O18" s="12">
        <v>5160</v>
      </c>
      <c r="P18" s="23">
        <f t="shared" si="0"/>
        <v>2.4024583294533941E-2</v>
      </c>
      <c r="Q18" s="23">
        <f t="shared" si="10"/>
        <v>0.73451904274140989</v>
      </c>
      <c r="R18" s="23" t="str">
        <f t="shared" si="4"/>
        <v>B</v>
      </c>
      <c r="S18" s="10"/>
      <c r="T18" s="61" t="s">
        <v>142</v>
      </c>
      <c r="U18" s="25">
        <f>SUM(U3:U16)</f>
        <v>39430</v>
      </c>
      <c r="V18" s="17"/>
      <c r="W18" s="17"/>
      <c r="X18" s="17"/>
      <c r="Z18" s="12" t="s">
        <v>22</v>
      </c>
      <c r="AA18" s="12">
        <v>1</v>
      </c>
      <c r="AB18" s="12">
        <v>7</v>
      </c>
      <c r="AC18" s="12">
        <v>8</v>
      </c>
      <c r="AE18" s="47"/>
      <c r="AF18" s="47"/>
      <c r="AJ18" s="42" t="s">
        <v>13</v>
      </c>
      <c r="AK18" s="42">
        <v>1</v>
      </c>
      <c r="AL18" s="42">
        <v>2</v>
      </c>
      <c r="AM18" s="42">
        <v>5</v>
      </c>
      <c r="AO18" s="51"/>
      <c r="AP18" s="29"/>
      <c r="AQ18" s="29"/>
      <c r="AR18" s="29"/>
    </row>
    <row r="19" spans="1:44" ht="15.6" x14ac:dyDescent="0.3">
      <c r="A19" s="17" t="s">
        <v>149</v>
      </c>
      <c r="B19" s="19">
        <v>36</v>
      </c>
      <c r="C19" s="3"/>
      <c r="D19" s="14" t="s">
        <v>12</v>
      </c>
      <c r="E19" s="53">
        <f t="shared" si="2"/>
        <v>5000</v>
      </c>
      <c r="F19" s="21">
        <v>2.3279634975323586E-2</v>
      </c>
      <c r="G19" s="21">
        <f t="shared" si="6"/>
        <v>0.75779867771673348</v>
      </c>
      <c r="I19" s="30" t="s">
        <v>181</v>
      </c>
      <c r="J19" s="30" t="s">
        <v>141</v>
      </c>
      <c r="K19" s="30" t="s">
        <v>180</v>
      </c>
      <c r="N19" s="12" t="s">
        <v>12</v>
      </c>
      <c r="O19" s="12">
        <v>5000</v>
      </c>
      <c r="P19" s="23">
        <f t="shared" si="0"/>
        <v>2.3279634975323586E-2</v>
      </c>
      <c r="Q19" s="23">
        <f t="shared" si="10"/>
        <v>0.75779867771673348</v>
      </c>
      <c r="R19" s="23" t="str">
        <f t="shared" si="4"/>
        <v>B</v>
      </c>
      <c r="S19" s="10"/>
      <c r="T19" s="26"/>
      <c r="U19" s="27"/>
      <c r="Z19" s="12" t="s">
        <v>41</v>
      </c>
      <c r="AA19" s="12">
        <v>1</v>
      </c>
      <c r="AB19" s="12"/>
      <c r="AC19" s="12">
        <v>1</v>
      </c>
      <c r="AE19" s="77" t="s">
        <v>197</v>
      </c>
      <c r="AF19" s="77"/>
      <c r="AJ19" s="42" t="s">
        <v>110</v>
      </c>
      <c r="AK19" s="42"/>
      <c r="AL19" s="42">
        <v>2</v>
      </c>
      <c r="AM19" s="42">
        <v>4</v>
      </c>
      <c r="AO19" s="76" t="s">
        <v>201</v>
      </c>
      <c r="AP19" s="76"/>
      <c r="AQ19" s="76"/>
      <c r="AR19" s="76"/>
    </row>
    <row r="20" spans="1:44" ht="15.6" x14ac:dyDescent="0.3">
      <c r="C20" s="3"/>
      <c r="D20" s="14" t="s">
        <v>112</v>
      </c>
      <c r="E20" s="53">
        <f t="shared" si="2"/>
        <v>4200</v>
      </c>
      <c r="F20" s="21">
        <v>1.9554893379271812E-2</v>
      </c>
      <c r="G20" s="21">
        <f t="shared" si="6"/>
        <v>0.77735357109600534</v>
      </c>
      <c r="I20" s="34" t="s">
        <v>6</v>
      </c>
      <c r="J20" s="35">
        <v>34730</v>
      </c>
      <c r="K20" s="36">
        <v>0.16170034453859763</v>
      </c>
      <c r="N20" s="12" t="s">
        <v>112</v>
      </c>
      <c r="O20" s="12">
        <v>4200</v>
      </c>
      <c r="P20" s="23">
        <f t="shared" si="0"/>
        <v>1.9554893379271812E-2</v>
      </c>
      <c r="Q20" s="23">
        <f t="shared" si="10"/>
        <v>0.77735357109600534</v>
      </c>
      <c r="R20" s="23" t="str">
        <f t="shared" si="4"/>
        <v>B</v>
      </c>
      <c r="S20" s="10"/>
      <c r="T20" s="76" t="s">
        <v>178</v>
      </c>
      <c r="U20" s="76"/>
      <c r="V20" s="76"/>
      <c r="Z20" s="12" t="s">
        <v>106</v>
      </c>
      <c r="AA20" s="12">
        <v>1</v>
      </c>
      <c r="AB20" s="12">
        <v>4</v>
      </c>
      <c r="AC20" s="12">
        <v>5</v>
      </c>
      <c r="AE20" s="30" t="s">
        <v>196</v>
      </c>
      <c r="AF20" s="30" t="s">
        <v>195</v>
      </c>
      <c r="AJ20" s="42" t="s">
        <v>113</v>
      </c>
      <c r="AK20" s="42"/>
      <c r="AL20" s="42">
        <v>2</v>
      </c>
      <c r="AM20" s="42"/>
      <c r="AO20" s="30" t="s">
        <v>196</v>
      </c>
      <c r="AP20" s="30" t="s">
        <v>192</v>
      </c>
      <c r="AQ20" s="30" t="s">
        <v>194</v>
      </c>
      <c r="AR20" s="30" t="s">
        <v>193</v>
      </c>
    </row>
    <row r="21" spans="1:44" ht="15.6" x14ac:dyDescent="0.3">
      <c r="A21" s="72" t="s">
        <v>152</v>
      </c>
      <c r="B21" s="72"/>
      <c r="C21" s="3"/>
      <c r="D21" s="14" t="s">
        <v>16</v>
      </c>
      <c r="E21" s="53">
        <f t="shared" si="2"/>
        <v>4180</v>
      </c>
      <c r="F21" s="21">
        <v>1.9461774839370519E-2</v>
      </c>
      <c r="G21" s="21">
        <f t="shared" si="6"/>
        <v>0.79681534593537584</v>
      </c>
      <c r="I21" s="34" t="s">
        <v>8</v>
      </c>
      <c r="J21" s="35">
        <v>180050</v>
      </c>
      <c r="K21" s="36">
        <v>0.83829965546140239</v>
      </c>
      <c r="N21" s="12" t="s">
        <v>16</v>
      </c>
      <c r="O21" s="12">
        <v>4180</v>
      </c>
      <c r="P21" s="23">
        <f t="shared" si="0"/>
        <v>1.9461774839370519E-2</v>
      </c>
      <c r="Q21" s="23">
        <f t="shared" si="10"/>
        <v>0.79681534593537584</v>
      </c>
      <c r="R21" s="23" t="str">
        <f t="shared" si="4"/>
        <v>B</v>
      </c>
      <c r="S21" s="10"/>
      <c r="T21" s="31" t="s">
        <v>179</v>
      </c>
      <c r="U21" s="31" t="s">
        <v>6</v>
      </c>
      <c r="V21" s="31" t="s">
        <v>8</v>
      </c>
      <c r="W21" s="29"/>
      <c r="Z21" s="12" t="s">
        <v>20</v>
      </c>
      <c r="AA21" s="12">
        <v>1</v>
      </c>
      <c r="AB21" s="12">
        <v>7</v>
      </c>
      <c r="AC21" s="12">
        <v>8</v>
      </c>
      <c r="AE21" s="34" t="s">
        <v>192</v>
      </c>
      <c r="AF21" s="35">
        <v>72</v>
      </c>
      <c r="AJ21" s="42" t="s">
        <v>31</v>
      </c>
      <c r="AK21" s="42">
        <v>1</v>
      </c>
      <c r="AL21" s="42">
        <v>2</v>
      </c>
      <c r="AM21" s="42">
        <v>1</v>
      </c>
      <c r="AO21" s="48" t="s">
        <v>5</v>
      </c>
      <c r="AP21" s="49">
        <v>39</v>
      </c>
      <c r="AQ21" s="49">
        <v>79</v>
      </c>
      <c r="AR21" s="49">
        <v>81</v>
      </c>
    </row>
    <row r="22" spans="1:44" ht="15.6" x14ac:dyDescent="0.3">
      <c r="A22" s="16" t="s">
        <v>142</v>
      </c>
      <c r="B22" s="16">
        <v>39430</v>
      </c>
      <c r="C22" s="3"/>
      <c r="D22" s="14" t="s">
        <v>108</v>
      </c>
      <c r="E22" s="53">
        <f t="shared" si="2"/>
        <v>3900.0000000000005</v>
      </c>
      <c r="F22" s="21">
        <v>1.8158115280752399E-2</v>
      </c>
      <c r="G22" s="21">
        <f t="shared" si="6"/>
        <v>0.81497346121612824</v>
      </c>
      <c r="I22" s="37" t="s">
        <v>153</v>
      </c>
      <c r="J22" s="30">
        <v>214780</v>
      </c>
      <c r="K22" s="38">
        <v>1</v>
      </c>
      <c r="N22" s="12" t="s">
        <v>108</v>
      </c>
      <c r="O22" s="12">
        <v>3900</v>
      </c>
      <c r="P22" s="23">
        <f t="shared" si="0"/>
        <v>1.8158115280752399E-2</v>
      </c>
      <c r="Q22" s="23">
        <f t="shared" si="10"/>
        <v>0.81497346121612824</v>
      </c>
      <c r="R22" s="23" t="str">
        <f t="shared" si="4"/>
        <v>B</v>
      </c>
      <c r="S22" s="10"/>
      <c r="T22" s="12" t="s">
        <v>167</v>
      </c>
      <c r="U22" s="12">
        <v>25</v>
      </c>
      <c r="V22" s="12">
        <v>1</v>
      </c>
      <c r="Z22" s="12" t="s">
        <v>44</v>
      </c>
      <c r="AA22" s="12">
        <v>1</v>
      </c>
      <c r="AB22" s="12">
        <v>10</v>
      </c>
      <c r="AC22" s="12">
        <v>11</v>
      </c>
      <c r="AE22" s="34" t="s">
        <v>194</v>
      </c>
      <c r="AF22" s="35">
        <v>202</v>
      </c>
      <c r="AJ22" s="42" t="s">
        <v>45</v>
      </c>
      <c r="AK22" s="42"/>
      <c r="AL22" s="42">
        <v>1</v>
      </c>
      <c r="AM22" s="42"/>
      <c r="AO22" s="50" t="s">
        <v>6</v>
      </c>
      <c r="AP22" s="35">
        <v>12</v>
      </c>
      <c r="AQ22" s="35">
        <v>13</v>
      </c>
      <c r="AR22" s="35">
        <v>23</v>
      </c>
    </row>
    <row r="23" spans="1:44" ht="15.6" x14ac:dyDescent="0.3">
      <c r="A23" s="16" t="s">
        <v>146</v>
      </c>
      <c r="B23" s="16">
        <v>475.06024096385545</v>
      </c>
      <c r="C23" s="3"/>
      <c r="D23" s="14" t="s">
        <v>127</v>
      </c>
      <c r="E23" s="53">
        <f t="shared" si="2"/>
        <v>3600</v>
      </c>
      <c r="F23" s="21">
        <v>1.6761337182232983E-2</v>
      </c>
      <c r="G23" s="21">
        <f t="shared" si="6"/>
        <v>0.83173479839836117</v>
      </c>
      <c r="I23" s="8"/>
      <c r="J23" s="20"/>
      <c r="K23" s="20"/>
      <c r="N23" s="12" t="s">
        <v>127</v>
      </c>
      <c r="O23" s="12">
        <v>3600</v>
      </c>
      <c r="P23" s="23">
        <f t="shared" si="0"/>
        <v>1.6761337182232983E-2</v>
      </c>
      <c r="Q23" s="23">
        <f t="shared" si="10"/>
        <v>0.83173479839836117</v>
      </c>
      <c r="R23" s="23" t="str">
        <f t="shared" si="4"/>
        <v>B</v>
      </c>
      <c r="S23" s="10"/>
      <c r="T23" s="12" t="s">
        <v>171</v>
      </c>
      <c r="U23" s="12">
        <v>5</v>
      </c>
      <c r="V23" s="12">
        <v>3</v>
      </c>
      <c r="Z23" s="12" t="s">
        <v>112</v>
      </c>
      <c r="AA23" s="12">
        <v>1</v>
      </c>
      <c r="AB23" s="12">
        <v>5</v>
      </c>
      <c r="AC23" s="12">
        <v>6</v>
      </c>
      <c r="AE23" s="34" t="s">
        <v>193</v>
      </c>
      <c r="AF23" s="35">
        <v>253</v>
      </c>
      <c r="AJ23" s="42" t="s">
        <v>120</v>
      </c>
      <c r="AK23" s="42"/>
      <c r="AL23" s="42">
        <v>1</v>
      </c>
      <c r="AM23" s="42">
        <v>8</v>
      </c>
      <c r="AO23" s="50" t="s">
        <v>8</v>
      </c>
      <c r="AP23" s="35">
        <v>27</v>
      </c>
      <c r="AQ23" s="35">
        <v>66</v>
      </c>
      <c r="AR23" s="35">
        <v>58</v>
      </c>
    </row>
    <row r="24" spans="1:44" ht="15.6" x14ac:dyDescent="0.3">
      <c r="A24" s="16" t="s">
        <v>147</v>
      </c>
      <c r="B24" s="16">
        <v>300</v>
      </c>
      <c r="C24" s="3"/>
      <c r="D24" s="14" t="s">
        <v>31</v>
      </c>
      <c r="E24" s="53">
        <f t="shared" si="2"/>
        <v>3569.9999999999995</v>
      </c>
      <c r="F24" s="21">
        <v>1.662165937238104E-2</v>
      </c>
      <c r="G24" s="21">
        <f t="shared" si="6"/>
        <v>0.8483564577707422</v>
      </c>
      <c r="I24" s="74" t="s">
        <v>183</v>
      </c>
      <c r="J24" s="74"/>
      <c r="K24" s="74"/>
      <c r="N24" s="12" t="s">
        <v>31</v>
      </c>
      <c r="O24" s="12">
        <v>3570</v>
      </c>
      <c r="P24" s="23">
        <f t="shared" si="0"/>
        <v>1.662165937238104E-2</v>
      </c>
      <c r="Q24" s="23">
        <f t="shared" si="10"/>
        <v>0.8483564577707422</v>
      </c>
      <c r="R24" s="23" t="str">
        <f t="shared" si="4"/>
        <v>B</v>
      </c>
      <c r="S24" s="10"/>
      <c r="T24" s="12" t="s">
        <v>164</v>
      </c>
      <c r="U24" s="12">
        <v>6</v>
      </c>
      <c r="V24" s="12">
        <v>10</v>
      </c>
      <c r="Z24" s="12" t="s">
        <v>107</v>
      </c>
      <c r="AA24" s="12">
        <v>1</v>
      </c>
      <c r="AB24" s="12">
        <v>3</v>
      </c>
      <c r="AC24" s="12">
        <v>4</v>
      </c>
      <c r="AJ24" s="42" t="s">
        <v>118</v>
      </c>
      <c r="AK24" s="42"/>
      <c r="AL24" s="42">
        <v>1</v>
      </c>
      <c r="AM24" s="42"/>
      <c r="AO24" s="48" t="s">
        <v>14</v>
      </c>
      <c r="AP24" s="49">
        <v>2</v>
      </c>
      <c r="AQ24" s="49">
        <v>29</v>
      </c>
      <c r="AR24" s="49">
        <v>18</v>
      </c>
    </row>
    <row r="25" spans="1:44" ht="15.6" x14ac:dyDescent="0.3">
      <c r="A25" s="16" t="s">
        <v>143</v>
      </c>
      <c r="B25" s="16">
        <v>4000</v>
      </c>
      <c r="C25" s="3"/>
      <c r="D25" s="14" t="s">
        <v>117</v>
      </c>
      <c r="E25" s="53">
        <f t="shared" si="2"/>
        <v>3200</v>
      </c>
      <c r="F25" s="21">
        <v>1.4898966384207096E-2</v>
      </c>
      <c r="G25" s="21">
        <f t="shared" si="6"/>
        <v>0.86325542415494927</v>
      </c>
      <c r="I25" s="30" t="s">
        <v>181</v>
      </c>
      <c r="J25" s="39" t="s">
        <v>141</v>
      </c>
      <c r="K25" s="30" t="s">
        <v>180</v>
      </c>
      <c r="N25" s="12" t="s">
        <v>117</v>
      </c>
      <c r="O25" s="12">
        <v>3200</v>
      </c>
      <c r="P25" s="23">
        <f t="shared" si="0"/>
        <v>1.4898966384207096E-2</v>
      </c>
      <c r="Q25" s="32">
        <f t="shared" si="10"/>
        <v>0.86325542415494927</v>
      </c>
      <c r="R25" s="23" t="str">
        <f t="shared" si="4"/>
        <v>B</v>
      </c>
      <c r="S25" s="10"/>
      <c r="T25" s="12" t="s">
        <v>172</v>
      </c>
      <c r="U25" s="12">
        <v>2</v>
      </c>
      <c r="V25" s="12">
        <v>14</v>
      </c>
      <c r="Z25" s="12" t="s">
        <v>104</v>
      </c>
      <c r="AA25" s="12">
        <v>1</v>
      </c>
      <c r="AB25" s="12">
        <v>25</v>
      </c>
      <c r="AC25" s="12">
        <v>26</v>
      </c>
      <c r="AE25" s="77" t="s">
        <v>197</v>
      </c>
      <c r="AF25" s="77"/>
      <c r="AJ25" s="42" t="s">
        <v>36</v>
      </c>
      <c r="AK25" s="42">
        <v>11</v>
      </c>
      <c r="AL25" s="42">
        <v>1</v>
      </c>
      <c r="AM25" s="42">
        <v>35</v>
      </c>
      <c r="AO25" s="50" t="s">
        <v>6</v>
      </c>
      <c r="AP25" s="35"/>
      <c r="AQ25" s="35">
        <v>4</v>
      </c>
      <c r="AR25" s="35"/>
    </row>
    <row r="26" spans="1:44" ht="15.6" x14ac:dyDescent="0.3">
      <c r="A26" s="16" t="s">
        <v>144</v>
      </c>
      <c r="B26" s="16">
        <v>40</v>
      </c>
      <c r="C26" s="3"/>
      <c r="D26" s="14" t="s">
        <v>56</v>
      </c>
      <c r="E26" s="53">
        <f t="shared" si="2"/>
        <v>2900</v>
      </c>
      <c r="F26" s="21">
        <v>1.350218828568768E-2</v>
      </c>
      <c r="G26" s="21">
        <f t="shared" si="6"/>
        <v>0.87675761244063699</v>
      </c>
      <c r="I26" s="34" t="s">
        <v>6</v>
      </c>
      <c r="J26" s="40">
        <v>23475</v>
      </c>
      <c r="K26" s="36">
        <v>0.59535886380928227</v>
      </c>
      <c r="N26" s="12" t="s">
        <v>56</v>
      </c>
      <c r="O26" s="12">
        <v>2900</v>
      </c>
      <c r="P26" s="23">
        <f t="shared" si="0"/>
        <v>1.350218828568768E-2</v>
      </c>
      <c r="Q26" s="23">
        <f t="shared" si="10"/>
        <v>0.87675761244063699</v>
      </c>
      <c r="R26" s="23" t="str">
        <f t="shared" si="4"/>
        <v>B</v>
      </c>
      <c r="S26" s="10"/>
      <c r="T26" s="12" t="s">
        <v>170</v>
      </c>
      <c r="U26" s="12">
        <v>2</v>
      </c>
      <c r="V26" s="12">
        <v>15</v>
      </c>
      <c r="Z26" s="12" t="s">
        <v>109</v>
      </c>
      <c r="AA26" s="12"/>
      <c r="AB26" s="12">
        <v>2</v>
      </c>
      <c r="AC26" s="12">
        <v>2</v>
      </c>
      <c r="AE26" s="30" t="s">
        <v>196</v>
      </c>
      <c r="AF26" s="30" t="s">
        <v>195</v>
      </c>
      <c r="AJ26" s="42" t="s">
        <v>106</v>
      </c>
      <c r="AK26" s="42">
        <v>1</v>
      </c>
      <c r="AL26" s="42">
        <v>1</v>
      </c>
      <c r="AM26" s="42">
        <v>3</v>
      </c>
      <c r="AO26" s="50" t="s">
        <v>8</v>
      </c>
      <c r="AP26" s="35">
        <v>2</v>
      </c>
      <c r="AQ26" s="35">
        <v>25</v>
      </c>
      <c r="AR26" s="35">
        <v>18</v>
      </c>
    </row>
    <row r="27" spans="1:44" ht="15.6" x14ac:dyDescent="0.3">
      <c r="A27" s="16" t="s">
        <v>145</v>
      </c>
      <c r="B27" s="16">
        <v>657.78939378092207</v>
      </c>
      <c r="C27" s="3"/>
      <c r="D27" s="14" t="s">
        <v>113</v>
      </c>
      <c r="E27" s="53">
        <f t="shared" si="2"/>
        <v>2760</v>
      </c>
      <c r="F27" s="21">
        <v>1.2850358506378621E-2</v>
      </c>
      <c r="G27" s="21">
        <f t="shared" si="6"/>
        <v>0.8896079709470156</v>
      </c>
      <c r="I27" s="34" t="s">
        <v>8</v>
      </c>
      <c r="J27" s="40">
        <v>15955</v>
      </c>
      <c r="K27" s="36">
        <v>0.40464113619071773</v>
      </c>
      <c r="N27" s="12" t="s">
        <v>113</v>
      </c>
      <c r="O27" s="12">
        <v>2760</v>
      </c>
      <c r="P27" s="23">
        <f t="shared" si="0"/>
        <v>1.2850358506378621E-2</v>
      </c>
      <c r="Q27" s="23">
        <f t="shared" si="10"/>
        <v>0.8896079709470156</v>
      </c>
      <c r="R27" s="23" t="str">
        <f t="shared" si="4"/>
        <v>B</v>
      </c>
      <c r="S27" s="10"/>
      <c r="T27" s="28"/>
      <c r="Z27" s="12" t="s">
        <v>18</v>
      </c>
      <c r="AA27" s="12"/>
      <c r="AB27" s="12">
        <v>19</v>
      </c>
      <c r="AC27" s="12">
        <v>19</v>
      </c>
      <c r="AE27" s="34" t="s">
        <v>192</v>
      </c>
      <c r="AF27" s="35">
        <v>72</v>
      </c>
      <c r="AJ27" s="42" t="s">
        <v>128</v>
      </c>
      <c r="AK27" s="42"/>
      <c r="AL27" s="42">
        <v>1</v>
      </c>
      <c r="AM27" s="42"/>
      <c r="AO27" s="48" t="s">
        <v>18</v>
      </c>
      <c r="AP27" s="49">
        <v>1</v>
      </c>
      <c r="AQ27" s="49">
        <v>12</v>
      </c>
      <c r="AR27" s="49">
        <v>6</v>
      </c>
    </row>
    <row r="28" spans="1:44" ht="15.6" x14ac:dyDescent="0.3">
      <c r="A28" s="16" t="s">
        <v>148</v>
      </c>
      <c r="B28" s="16">
        <v>83</v>
      </c>
      <c r="C28" s="3"/>
      <c r="D28" s="14" t="s">
        <v>13</v>
      </c>
      <c r="E28" s="53">
        <f t="shared" si="2"/>
        <v>2710</v>
      </c>
      <c r="F28" s="21">
        <v>1.2617562156625383E-2</v>
      </c>
      <c r="G28" s="21">
        <f t="shared" si="6"/>
        <v>0.90222553310364095</v>
      </c>
      <c r="I28" s="37" t="s">
        <v>153</v>
      </c>
      <c r="J28" s="30">
        <v>39430</v>
      </c>
      <c r="K28" s="38">
        <v>1</v>
      </c>
      <c r="N28" s="12" t="s">
        <v>13</v>
      </c>
      <c r="O28" s="12">
        <v>2710</v>
      </c>
      <c r="P28" s="23">
        <f t="shared" si="0"/>
        <v>1.2617562156625383E-2</v>
      </c>
      <c r="Q28" s="23">
        <f t="shared" si="10"/>
        <v>0.90222553310364095</v>
      </c>
      <c r="R28" s="23" t="str">
        <f t="shared" si="4"/>
        <v>C</v>
      </c>
      <c r="S28" s="10"/>
      <c r="T28" s="76" t="s">
        <v>177</v>
      </c>
      <c r="U28" s="76"/>
      <c r="V28" s="76"/>
      <c r="Z28" s="12" t="s">
        <v>115</v>
      </c>
      <c r="AA28" s="12"/>
      <c r="AB28" s="12">
        <v>7</v>
      </c>
      <c r="AC28" s="12">
        <v>7</v>
      </c>
      <c r="AE28" s="34" t="s">
        <v>194</v>
      </c>
      <c r="AF28" s="35">
        <v>202</v>
      </c>
      <c r="AJ28" s="42" t="s">
        <v>19</v>
      </c>
      <c r="AK28" s="42"/>
      <c r="AL28" s="42">
        <v>1</v>
      </c>
      <c r="AM28" s="42">
        <v>5</v>
      </c>
      <c r="AO28" s="50" t="s">
        <v>8</v>
      </c>
      <c r="AP28" s="35">
        <v>1</v>
      </c>
      <c r="AQ28" s="35">
        <v>12</v>
      </c>
      <c r="AR28" s="35">
        <v>6</v>
      </c>
    </row>
    <row r="29" spans="1:44" ht="15.6" x14ac:dyDescent="0.3">
      <c r="A29" s="16" t="s">
        <v>149</v>
      </c>
      <c r="B29" s="16">
        <v>14</v>
      </c>
      <c r="C29" s="3"/>
      <c r="D29" s="14" t="s">
        <v>29</v>
      </c>
      <c r="E29" s="53">
        <f t="shared" si="2"/>
        <v>2670</v>
      </c>
      <c r="F29" s="21">
        <v>1.2431325076822795E-2</v>
      </c>
      <c r="G29" s="21">
        <f t="shared" si="6"/>
        <v>0.91465685818046372</v>
      </c>
      <c r="I29" s="8"/>
      <c r="J29" s="20"/>
      <c r="K29" s="20"/>
      <c r="N29" s="12" t="s">
        <v>29</v>
      </c>
      <c r="O29" s="12">
        <v>2670</v>
      </c>
      <c r="P29" s="23">
        <f t="shared" si="0"/>
        <v>1.2431325076822795E-2</v>
      </c>
      <c r="Q29" s="23">
        <f t="shared" si="10"/>
        <v>0.91465685818046372</v>
      </c>
      <c r="R29" s="23" t="str">
        <f t="shared" si="4"/>
        <v>C</v>
      </c>
      <c r="S29" s="10"/>
      <c r="T29" s="31" t="s">
        <v>179</v>
      </c>
      <c r="U29" s="31" t="s">
        <v>6</v>
      </c>
      <c r="V29" s="31" t="s">
        <v>8</v>
      </c>
      <c r="Z29" s="12" t="s">
        <v>102</v>
      </c>
      <c r="AA29" s="12"/>
      <c r="AB29" s="12">
        <v>2</v>
      </c>
      <c r="AC29" s="12">
        <v>2</v>
      </c>
      <c r="AE29" s="34" t="s">
        <v>193</v>
      </c>
      <c r="AF29" s="35">
        <v>253</v>
      </c>
      <c r="AJ29" s="42" t="s">
        <v>79</v>
      </c>
      <c r="AK29" s="42"/>
      <c r="AL29" s="42">
        <v>1</v>
      </c>
      <c r="AM29" s="42"/>
      <c r="AO29" s="48" t="s">
        <v>104</v>
      </c>
      <c r="AP29" s="49"/>
      <c r="AQ29" s="49">
        <v>12</v>
      </c>
      <c r="AR29" s="49">
        <v>14</v>
      </c>
    </row>
    <row r="30" spans="1:44" ht="15.6" x14ac:dyDescent="0.3">
      <c r="C30" s="3"/>
      <c r="D30" s="14" t="s">
        <v>86</v>
      </c>
      <c r="E30" s="53">
        <f t="shared" si="2"/>
        <v>2600</v>
      </c>
      <c r="F30" s="21">
        <v>1.2105410187168266E-2</v>
      </c>
      <c r="G30" s="21">
        <f>G29+F30</f>
        <v>0.92676226836763198</v>
      </c>
      <c r="I30" s="74" t="s">
        <v>184</v>
      </c>
      <c r="J30" s="74"/>
      <c r="K30" s="74"/>
      <c r="L30" s="74"/>
      <c r="M30" s="58"/>
      <c r="N30" s="55" t="s">
        <v>86</v>
      </c>
      <c r="O30" s="12">
        <v>2600</v>
      </c>
      <c r="P30" s="23">
        <f t="shared" si="0"/>
        <v>1.2105410187168266E-2</v>
      </c>
      <c r="Q30" s="23">
        <f t="shared" si="10"/>
        <v>0.92676226836763198</v>
      </c>
      <c r="R30" s="23" t="str">
        <f t="shared" si="4"/>
        <v>C</v>
      </c>
      <c r="S30" s="10"/>
      <c r="T30" s="12" t="s">
        <v>169</v>
      </c>
      <c r="U30" s="12">
        <v>7</v>
      </c>
      <c r="V30" s="12">
        <v>32</v>
      </c>
      <c r="Z30" s="12" t="s">
        <v>117</v>
      </c>
      <c r="AA30" s="12"/>
      <c r="AB30" s="12">
        <v>4</v>
      </c>
      <c r="AC30" s="12">
        <v>4</v>
      </c>
      <c r="AJ30" s="42" t="s">
        <v>112</v>
      </c>
      <c r="AK30" s="42">
        <v>1</v>
      </c>
      <c r="AL30" s="42">
        <v>1</v>
      </c>
      <c r="AM30" s="42">
        <v>4</v>
      </c>
      <c r="AO30" s="50" t="s">
        <v>6</v>
      </c>
      <c r="AP30" s="35"/>
      <c r="AQ30" s="35"/>
      <c r="AR30" s="35">
        <v>1</v>
      </c>
    </row>
    <row r="31" spans="1:44" ht="15.6" x14ac:dyDescent="0.3">
      <c r="C31" s="3"/>
      <c r="D31" s="14" t="s">
        <v>41</v>
      </c>
      <c r="E31" s="53">
        <f t="shared" si="2"/>
        <v>2000</v>
      </c>
      <c r="F31" s="21">
        <v>9.3118539901294352E-3</v>
      </c>
      <c r="G31" s="21">
        <f t="shared" si="6"/>
        <v>0.93607412235776144</v>
      </c>
      <c r="I31" s="30" t="s">
        <v>140</v>
      </c>
      <c r="J31" s="30" t="s">
        <v>6</v>
      </c>
      <c r="K31" s="30" t="s">
        <v>8</v>
      </c>
      <c r="L31" s="56" t="s">
        <v>153</v>
      </c>
      <c r="M31" s="29"/>
      <c r="N31" s="12" t="s">
        <v>41</v>
      </c>
      <c r="O31" s="12">
        <v>2000</v>
      </c>
      <c r="P31" s="23">
        <f t="shared" si="0"/>
        <v>9.3118539901294352E-3</v>
      </c>
      <c r="Q31" s="23">
        <f t="shared" si="10"/>
        <v>0.93607412235776144</v>
      </c>
      <c r="R31" s="23" t="str">
        <f t="shared" si="4"/>
        <v>C</v>
      </c>
      <c r="S31" s="10"/>
      <c r="T31" s="12" t="s">
        <v>165</v>
      </c>
      <c r="U31" s="12">
        <v>11</v>
      </c>
      <c r="V31" s="12">
        <v>48</v>
      </c>
      <c r="Z31" s="12" t="s">
        <v>114</v>
      </c>
      <c r="AA31" s="12"/>
      <c r="AB31" s="12">
        <v>1</v>
      </c>
      <c r="AC31" s="12">
        <v>1</v>
      </c>
      <c r="AE31" s="77" t="s">
        <v>198</v>
      </c>
      <c r="AF31" s="77"/>
      <c r="AJ31" s="42" t="s">
        <v>57</v>
      </c>
      <c r="AK31" s="42"/>
      <c r="AL31" s="42">
        <v>1</v>
      </c>
      <c r="AM31" s="42">
        <v>1</v>
      </c>
      <c r="AO31" s="50" t="s">
        <v>8</v>
      </c>
      <c r="AP31" s="35"/>
      <c r="AQ31" s="35">
        <v>12</v>
      </c>
      <c r="AR31" s="35">
        <v>13</v>
      </c>
    </row>
    <row r="32" spans="1:44" ht="15.6" x14ac:dyDescent="0.3">
      <c r="C32" s="3"/>
      <c r="D32" s="14" t="s">
        <v>22</v>
      </c>
      <c r="E32" s="53">
        <f t="shared" si="2"/>
        <v>1800</v>
      </c>
      <c r="F32" s="21">
        <v>8.3806685911164917E-3</v>
      </c>
      <c r="G32" s="21">
        <f t="shared" si="6"/>
        <v>0.94445479094887796</v>
      </c>
      <c r="I32" s="34" t="s">
        <v>7</v>
      </c>
      <c r="J32" s="35">
        <v>34730</v>
      </c>
      <c r="K32" s="35">
        <v>180050</v>
      </c>
      <c r="L32" s="57">
        <v>214780</v>
      </c>
      <c r="M32" s="59"/>
      <c r="N32" s="12" t="s">
        <v>22</v>
      </c>
      <c r="O32" s="12">
        <v>1800</v>
      </c>
      <c r="P32" s="23">
        <f t="shared" si="0"/>
        <v>8.3806685911164917E-3</v>
      </c>
      <c r="Q32" s="23">
        <f t="shared" si="10"/>
        <v>0.94445479094887796</v>
      </c>
      <c r="R32" s="23" t="str">
        <f t="shared" si="4"/>
        <v>C</v>
      </c>
      <c r="S32" s="10"/>
      <c r="T32" s="12" t="s">
        <v>175</v>
      </c>
      <c r="U32" s="12">
        <v>10</v>
      </c>
      <c r="V32" s="12">
        <v>38</v>
      </c>
      <c r="Z32" s="12" t="s">
        <v>86</v>
      </c>
      <c r="AA32" s="12"/>
      <c r="AB32" s="12">
        <v>2</v>
      </c>
      <c r="AC32" s="12">
        <v>2</v>
      </c>
      <c r="AE32" s="30" t="s">
        <v>196</v>
      </c>
      <c r="AF32" s="30" t="s">
        <v>195</v>
      </c>
      <c r="AJ32" s="42" t="s">
        <v>109</v>
      </c>
      <c r="AK32" s="42"/>
      <c r="AL32" s="42">
        <v>1</v>
      </c>
      <c r="AM32" s="42">
        <v>1</v>
      </c>
      <c r="AO32" s="48" t="s">
        <v>20</v>
      </c>
      <c r="AP32" s="49"/>
      <c r="AQ32" s="49">
        <v>7</v>
      </c>
      <c r="AR32" s="49">
        <v>1</v>
      </c>
    </row>
    <row r="33" spans="3:44" ht="15.6" x14ac:dyDescent="0.3">
      <c r="C33" s="3"/>
      <c r="D33" s="14" t="s">
        <v>19</v>
      </c>
      <c r="E33" s="53">
        <f t="shared" si="2"/>
        <v>1770</v>
      </c>
      <c r="F33" s="21">
        <v>8.2409907812645497E-3</v>
      </c>
      <c r="G33" s="21">
        <f t="shared" si="6"/>
        <v>0.95269578173014247</v>
      </c>
      <c r="I33" s="34" t="s">
        <v>60</v>
      </c>
      <c r="J33" s="35">
        <v>23475</v>
      </c>
      <c r="K33" s="35">
        <v>15955</v>
      </c>
      <c r="L33" s="57">
        <v>39430</v>
      </c>
      <c r="M33" s="59"/>
      <c r="N33" s="12" t="s">
        <v>19</v>
      </c>
      <c r="O33" s="12">
        <v>1770</v>
      </c>
      <c r="P33" s="23">
        <f t="shared" si="0"/>
        <v>8.2409907812645497E-3</v>
      </c>
      <c r="Q33" s="23">
        <f t="shared" si="10"/>
        <v>0.95269578173014247</v>
      </c>
      <c r="R33" s="23" t="str">
        <f t="shared" si="4"/>
        <v>C</v>
      </c>
      <c r="S33" s="10"/>
      <c r="T33" s="12" t="s">
        <v>174</v>
      </c>
      <c r="U33" s="12">
        <v>8</v>
      </c>
      <c r="V33" s="12">
        <v>36</v>
      </c>
      <c r="Z33" s="12" t="s">
        <v>42</v>
      </c>
      <c r="AA33" s="12"/>
      <c r="AB33" s="12">
        <v>1</v>
      </c>
      <c r="AC33" s="12">
        <v>1</v>
      </c>
      <c r="AE33" s="34" t="s">
        <v>192</v>
      </c>
      <c r="AF33" s="35">
        <v>18</v>
      </c>
      <c r="AJ33" s="42" t="s">
        <v>44</v>
      </c>
      <c r="AK33" s="42">
        <v>4</v>
      </c>
      <c r="AL33" s="42">
        <v>1</v>
      </c>
      <c r="AM33" s="42">
        <v>6</v>
      </c>
      <c r="AO33" s="50" t="s">
        <v>6</v>
      </c>
      <c r="AP33" s="35"/>
      <c r="AQ33" s="35">
        <v>1</v>
      </c>
      <c r="AR33" s="35"/>
    </row>
    <row r="34" spans="3:44" ht="15.6" x14ac:dyDescent="0.3">
      <c r="C34" s="3"/>
      <c r="D34" s="14" t="s">
        <v>107</v>
      </c>
      <c r="E34" s="53">
        <f t="shared" si="2"/>
        <v>1750.0000000000002</v>
      </c>
      <c r="F34" s="21">
        <v>8.1478722413632562E-3</v>
      </c>
      <c r="G34" s="21">
        <f t="shared" si="6"/>
        <v>0.96084365397150573</v>
      </c>
      <c r="I34" s="37" t="s">
        <v>153</v>
      </c>
      <c r="J34" s="30">
        <v>58205</v>
      </c>
      <c r="K34" s="30">
        <v>196005</v>
      </c>
      <c r="L34" s="56">
        <v>254210</v>
      </c>
      <c r="M34" s="29"/>
      <c r="N34" s="12" t="s">
        <v>107</v>
      </c>
      <c r="O34" s="12">
        <v>1750</v>
      </c>
      <c r="P34" s="23">
        <f t="shared" si="0"/>
        <v>8.1478722413632562E-3</v>
      </c>
      <c r="Q34" s="23">
        <f t="shared" si="10"/>
        <v>0.96084365397150573</v>
      </c>
      <c r="R34" s="23" t="str">
        <f t="shared" si="4"/>
        <v>C</v>
      </c>
      <c r="S34" s="10"/>
      <c r="T34" s="12" t="s">
        <v>173</v>
      </c>
      <c r="U34" s="12">
        <v>11</v>
      </c>
      <c r="V34" s="12">
        <v>32</v>
      </c>
      <c r="Z34" s="12" t="s">
        <v>79</v>
      </c>
      <c r="AA34" s="12"/>
      <c r="AB34" s="12">
        <v>1</v>
      </c>
      <c r="AC34" s="12">
        <v>1</v>
      </c>
      <c r="AE34" s="34" t="s">
        <v>194</v>
      </c>
      <c r="AF34" s="35">
        <v>4</v>
      </c>
      <c r="AJ34" s="42" t="s">
        <v>111</v>
      </c>
      <c r="AK34" s="42"/>
      <c r="AL34" s="42">
        <v>1</v>
      </c>
      <c r="AM34" s="42">
        <v>3</v>
      </c>
      <c r="AO34" s="50" t="s">
        <v>8</v>
      </c>
      <c r="AP34" s="35"/>
      <c r="AQ34" s="35">
        <v>6</v>
      </c>
      <c r="AR34" s="35">
        <v>1</v>
      </c>
    </row>
    <row r="35" spans="3:44" ht="15.6" x14ac:dyDescent="0.3">
      <c r="C35" s="3"/>
      <c r="D35" s="14" t="s">
        <v>106</v>
      </c>
      <c r="E35" s="53">
        <f t="shared" si="2"/>
        <v>1460</v>
      </c>
      <c r="F35" s="21">
        <v>6.7976534127944877E-3</v>
      </c>
      <c r="G35" s="21">
        <f t="shared" si="6"/>
        <v>0.96764130738430021</v>
      </c>
      <c r="I35" s="8"/>
      <c r="J35" s="20"/>
      <c r="K35" s="20"/>
      <c r="N35" s="12" t="s">
        <v>106</v>
      </c>
      <c r="O35" s="12">
        <v>1460</v>
      </c>
      <c r="P35" s="23">
        <f t="shared" si="0"/>
        <v>6.7976534127944877E-3</v>
      </c>
      <c r="Q35" s="23">
        <f t="shared" si="10"/>
        <v>0.96764130738430021</v>
      </c>
      <c r="R35" s="23" t="str">
        <f t="shared" si="4"/>
        <v>C</v>
      </c>
      <c r="S35" s="10"/>
      <c r="T35" s="12" t="s">
        <v>166</v>
      </c>
      <c r="U35" s="12">
        <v>4</v>
      </c>
      <c r="V35" s="12">
        <v>26</v>
      </c>
      <c r="Z35" s="12" t="s">
        <v>32</v>
      </c>
      <c r="AA35" s="12"/>
      <c r="AB35" s="12">
        <v>1</v>
      </c>
      <c r="AC35" s="12">
        <v>1</v>
      </c>
      <c r="AE35" s="34" t="s">
        <v>193</v>
      </c>
      <c r="AF35" s="35">
        <v>61</v>
      </c>
      <c r="AJ35" s="42" t="s">
        <v>127</v>
      </c>
      <c r="AK35" s="42"/>
      <c r="AL35" s="42"/>
      <c r="AM35" s="42">
        <v>1</v>
      </c>
      <c r="AO35" s="48" t="s">
        <v>16</v>
      </c>
      <c r="AP35" s="49"/>
      <c r="AQ35" s="49">
        <v>6</v>
      </c>
      <c r="AR35" s="49">
        <v>4</v>
      </c>
    </row>
    <row r="36" spans="3:44" ht="15.6" x14ac:dyDescent="0.3">
      <c r="C36" s="3"/>
      <c r="D36" s="14" t="s">
        <v>109</v>
      </c>
      <c r="E36" s="53">
        <f t="shared" si="2"/>
        <v>1160</v>
      </c>
      <c r="F36" s="21">
        <v>5.4008753142750724E-3</v>
      </c>
      <c r="G36" s="21">
        <f t="shared" si="6"/>
        <v>0.97304218269857523</v>
      </c>
      <c r="I36" s="8"/>
      <c r="J36" s="20"/>
      <c r="K36" s="20"/>
      <c r="N36" s="12" t="s">
        <v>109</v>
      </c>
      <c r="O36" s="12">
        <v>1160</v>
      </c>
      <c r="P36" s="23">
        <f t="shared" si="0"/>
        <v>5.4008753142750724E-3</v>
      </c>
      <c r="Q36" s="23">
        <f t="shared" si="10"/>
        <v>0.97304218269857523</v>
      </c>
      <c r="R36" s="23" t="str">
        <f t="shared" si="4"/>
        <v>C</v>
      </c>
      <c r="S36" s="10"/>
      <c r="T36" s="12" t="s">
        <v>168</v>
      </c>
      <c r="U36" s="12">
        <v>7</v>
      </c>
      <c r="V36" s="12">
        <v>51</v>
      </c>
      <c r="Z36" s="12" t="s">
        <v>45</v>
      </c>
      <c r="AA36" s="12"/>
      <c r="AB36" s="12">
        <v>1</v>
      </c>
      <c r="AC36" s="12">
        <v>1</v>
      </c>
      <c r="AJ36" s="42" t="s">
        <v>132</v>
      </c>
      <c r="AK36" s="42"/>
      <c r="AL36" s="42"/>
      <c r="AM36" s="42">
        <v>1</v>
      </c>
      <c r="AO36" s="50" t="s">
        <v>8</v>
      </c>
      <c r="AP36" s="35"/>
      <c r="AQ36" s="35">
        <v>6</v>
      </c>
      <c r="AR36" s="35">
        <v>4</v>
      </c>
    </row>
    <row r="37" spans="3:44" ht="15.6" x14ac:dyDescent="0.3">
      <c r="C37" s="3"/>
      <c r="D37" s="14" t="s">
        <v>57</v>
      </c>
      <c r="E37" s="53">
        <f t="shared" si="2"/>
        <v>1100</v>
      </c>
      <c r="F37" s="21">
        <v>5.1215196945711894E-3</v>
      </c>
      <c r="G37" s="21">
        <f t="shared" si="6"/>
        <v>0.97816370239314643</v>
      </c>
      <c r="I37" s="8"/>
      <c r="J37" s="20"/>
      <c r="K37" s="20"/>
      <c r="N37" s="12" t="s">
        <v>57</v>
      </c>
      <c r="O37" s="12">
        <v>1100</v>
      </c>
      <c r="P37" s="23">
        <f t="shared" si="0"/>
        <v>5.1215196945711894E-3</v>
      </c>
      <c r="Q37" s="23">
        <f t="shared" si="10"/>
        <v>0.97816370239314643</v>
      </c>
      <c r="R37" s="23" t="str">
        <f t="shared" si="4"/>
        <v>C</v>
      </c>
      <c r="S37" s="10"/>
      <c r="T37" s="12" t="s">
        <v>167</v>
      </c>
      <c r="U37" s="12">
        <v>4</v>
      </c>
      <c r="V37" s="12">
        <v>33</v>
      </c>
      <c r="Z37" s="12" t="s">
        <v>128</v>
      </c>
      <c r="AA37" s="12"/>
      <c r="AB37" s="12">
        <v>1</v>
      </c>
      <c r="AC37" s="12">
        <v>1</v>
      </c>
      <c r="AE37" s="77" t="s">
        <v>204</v>
      </c>
      <c r="AF37" s="77"/>
      <c r="AJ37" s="42" t="s">
        <v>102</v>
      </c>
      <c r="AK37" s="42"/>
      <c r="AL37" s="42"/>
      <c r="AM37" s="42">
        <v>2</v>
      </c>
      <c r="AO37" s="48" t="s">
        <v>105</v>
      </c>
      <c r="AP37" s="49">
        <v>2</v>
      </c>
      <c r="AQ37" s="49">
        <v>5</v>
      </c>
      <c r="AR37" s="49">
        <v>2</v>
      </c>
    </row>
    <row r="38" spans="3:44" ht="15.6" x14ac:dyDescent="0.3">
      <c r="C38" s="3"/>
      <c r="D38" s="14" t="s">
        <v>132</v>
      </c>
      <c r="E38" s="53">
        <f t="shared" si="2"/>
        <v>900</v>
      </c>
      <c r="F38" s="21">
        <v>4.1903342955582458E-3</v>
      </c>
      <c r="G38" s="21">
        <f t="shared" si="6"/>
        <v>0.98235403668870469</v>
      </c>
      <c r="I38" s="8"/>
      <c r="J38" s="20"/>
      <c r="K38" s="20"/>
      <c r="N38" s="12" t="s">
        <v>132</v>
      </c>
      <c r="O38" s="12">
        <v>900</v>
      </c>
      <c r="P38" s="23">
        <f t="shared" si="0"/>
        <v>4.1903342955582458E-3</v>
      </c>
      <c r="Q38" s="23">
        <f t="shared" si="10"/>
        <v>0.98235403668870469</v>
      </c>
      <c r="R38" s="23" t="str">
        <f t="shared" si="4"/>
        <v>C</v>
      </c>
      <c r="S38" s="10"/>
      <c r="T38" s="12" t="s">
        <v>171</v>
      </c>
      <c r="U38" s="12">
        <v>8</v>
      </c>
      <c r="V38" s="12">
        <v>26</v>
      </c>
      <c r="Z38" s="12" t="s">
        <v>132</v>
      </c>
      <c r="AA38" s="12"/>
      <c r="AB38" s="12">
        <v>1</v>
      </c>
      <c r="AC38" s="12">
        <v>1</v>
      </c>
      <c r="AE38" s="35" t="s">
        <v>161</v>
      </c>
      <c r="AF38" s="35" t="s">
        <v>203</v>
      </c>
      <c r="AJ38" s="42" t="s">
        <v>117</v>
      </c>
      <c r="AK38" s="42"/>
      <c r="AL38" s="42"/>
      <c r="AM38" s="42">
        <v>4</v>
      </c>
      <c r="AO38" s="50" t="s">
        <v>6</v>
      </c>
      <c r="AP38" s="35">
        <v>2</v>
      </c>
      <c r="AQ38" s="35">
        <v>1</v>
      </c>
      <c r="AR38" s="35">
        <v>1</v>
      </c>
    </row>
    <row r="39" spans="3:44" ht="15.6" x14ac:dyDescent="0.3">
      <c r="C39" s="3"/>
      <c r="D39" s="14" t="s">
        <v>114</v>
      </c>
      <c r="E39" s="53">
        <f t="shared" si="2"/>
        <v>800</v>
      </c>
      <c r="F39" s="21">
        <v>3.7247415960517741E-3</v>
      </c>
      <c r="G39" s="21">
        <f t="shared" si="6"/>
        <v>0.98607877828475643</v>
      </c>
      <c r="I39" s="8"/>
      <c r="J39" s="20"/>
      <c r="K39" s="20"/>
      <c r="N39" s="12" t="s">
        <v>114</v>
      </c>
      <c r="O39" s="12">
        <v>800</v>
      </c>
      <c r="P39" s="23">
        <f t="shared" si="0"/>
        <v>3.7247415960517741E-3</v>
      </c>
      <c r="Q39" s="23">
        <f t="shared" si="10"/>
        <v>0.98607877828475643</v>
      </c>
      <c r="R39" s="23" t="str">
        <f t="shared" si="4"/>
        <v>C</v>
      </c>
      <c r="S39" s="10"/>
      <c r="T39" s="12" t="s">
        <v>164</v>
      </c>
      <c r="U39" s="12">
        <v>9</v>
      </c>
      <c r="V39" s="12">
        <v>47</v>
      </c>
      <c r="Z39" s="12" t="s">
        <v>12</v>
      </c>
      <c r="AA39" s="12"/>
      <c r="AB39" s="12">
        <v>14</v>
      </c>
      <c r="AC39" s="12">
        <v>14</v>
      </c>
      <c r="AE39" s="34" t="s">
        <v>7</v>
      </c>
      <c r="AF39" s="35">
        <v>32070</v>
      </c>
      <c r="AJ39" s="42" t="s">
        <v>41</v>
      </c>
      <c r="AK39" s="42"/>
      <c r="AL39" s="42"/>
      <c r="AM39" s="42">
        <v>1</v>
      </c>
      <c r="AO39" s="50" t="s">
        <v>8</v>
      </c>
      <c r="AP39" s="35"/>
      <c r="AQ39" s="35">
        <v>4</v>
      </c>
      <c r="AR39" s="35">
        <v>1</v>
      </c>
    </row>
    <row r="40" spans="3:44" ht="15.6" x14ac:dyDescent="0.3">
      <c r="C40" s="3"/>
      <c r="D40" s="14" t="s">
        <v>111</v>
      </c>
      <c r="E40" s="53">
        <f t="shared" si="2"/>
        <v>670</v>
      </c>
      <c r="F40" s="21">
        <v>3.1194710866933608E-3</v>
      </c>
      <c r="G40" s="21">
        <f t="shared" si="6"/>
        <v>0.98919824937144984</v>
      </c>
      <c r="I40" s="8"/>
      <c r="J40" s="20"/>
      <c r="K40" s="20"/>
      <c r="N40" s="12" t="s">
        <v>111</v>
      </c>
      <c r="O40" s="12">
        <v>670</v>
      </c>
      <c r="P40" s="23">
        <f t="shared" si="0"/>
        <v>3.1194710866933608E-3</v>
      </c>
      <c r="Q40" s="23">
        <f t="shared" si="10"/>
        <v>0.98919824937144984</v>
      </c>
      <c r="R40" s="23" t="str">
        <f t="shared" si="4"/>
        <v>C</v>
      </c>
      <c r="S40" s="10"/>
      <c r="T40" s="12" t="s">
        <v>172</v>
      </c>
      <c r="U40" s="12">
        <v>4</v>
      </c>
      <c r="V40" s="12">
        <v>26</v>
      </c>
      <c r="Z40" s="12" t="s">
        <v>118</v>
      </c>
      <c r="AA40" s="12"/>
      <c r="AB40" s="12">
        <v>1</v>
      </c>
      <c r="AC40" s="12">
        <v>1</v>
      </c>
      <c r="AE40" s="34" t="s">
        <v>60</v>
      </c>
      <c r="AF40" s="35">
        <v>280</v>
      </c>
      <c r="AJ40" s="42" t="s">
        <v>108</v>
      </c>
      <c r="AK40" s="42"/>
      <c r="AL40" s="42"/>
      <c r="AM40" s="42">
        <v>2</v>
      </c>
      <c r="AO40" s="48" t="s">
        <v>12</v>
      </c>
      <c r="AP40" s="49"/>
      <c r="AQ40" s="49">
        <v>5</v>
      </c>
      <c r="AR40" s="49">
        <v>9</v>
      </c>
    </row>
    <row r="41" spans="3:44" ht="15.6" x14ac:dyDescent="0.3">
      <c r="C41" s="3"/>
      <c r="D41" s="14" t="s">
        <v>128</v>
      </c>
      <c r="E41" s="53">
        <f t="shared" si="2"/>
        <v>650</v>
      </c>
      <c r="F41" s="21">
        <v>3.0263525467920664E-3</v>
      </c>
      <c r="G41" s="21">
        <f t="shared" si="6"/>
        <v>0.99222460191824191</v>
      </c>
      <c r="I41" s="8"/>
      <c r="J41" s="20"/>
      <c r="K41" s="20"/>
      <c r="N41" s="12" t="s">
        <v>128</v>
      </c>
      <c r="O41" s="12">
        <v>650</v>
      </c>
      <c r="P41" s="23">
        <f t="shared" si="0"/>
        <v>3.0263525467920664E-3</v>
      </c>
      <c r="Q41" s="23">
        <f t="shared" si="10"/>
        <v>0.99222460191824191</v>
      </c>
      <c r="R41" s="23" t="str">
        <f t="shared" si="4"/>
        <v>C</v>
      </c>
      <c r="S41" s="10"/>
      <c r="T41" s="12" t="s">
        <v>170</v>
      </c>
      <c r="U41" s="12">
        <v>9</v>
      </c>
      <c r="V41" s="12">
        <v>40</v>
      </c>
      <c r="Z41" s="12" t="s">
        <v>16</v>
      </c>
      <c r="AA41" s="12"/>
      <c r="AB41" s="12">
        <v>10</v>
      </c>
      <c r="AC41" s="12">
        <v>10</v>
      </c>
      <c r="AE41" s="34" t="s">
        <v>153</v>
      </c>
      <c r="AF41" s="35">
        <v>32350</v>
      </c>
      <c r="AJ41" s="42" t="s">
        <v>42</v>
      </c>
      <c r="AK41" s="42"/>
      <c r="AL41" s="42"/>
      <c r="AM41" s="42">
        <v>1</v>
      </c>
      <c r="AO41" s="50" t="s">
        <v>8</v>
      </c>
      <c r="AP41" s="35"/>
      <c r="AQ41" s="35">
        <v>5</v>
      </c>
      <c r="AR41" s="35">
        <v>9</v>
      </c>
    </row>
    <row r="42" spans="3:44" ht="15.6" x14ac:dyDescent="0.3">
      <c r="C42" s="3"/>
      <c r="D42" s="14" t="s">
        <v>45</v>
      </c>
      <c r="E42" s="53">
        <f t="shared" si="2"/>
        <v>620</v>
      </c>
      <c r="F42" s="21">
        <v>2.8866747369401249E-3</v>
      </c>
      <c r="G42" s="21">
        <f t="shared" si="6"/>
        <v>0.99511127665518206</v>
      </c>
      <c r="I42" s="8"/>
      <c r="J42" s="20"/>
      <c r="K42" s="20"/>
      <c r="N42" s="12" t="s">
        <v>45</v>
      </c>
      <c r="O42" s="12">
        <v>620</v>
      </c>
      <c r="P42" s="23">
        <f t="shared" si="0"/>
        <v>2.8866747369401249E-3</v>
      </c>
      <c r="Q42" s="23">
        <f t="shared" si="10"/>
        <v>0.99511127665518206</v>
      </c>
      <c r="R42" s="23" t="str">
        <f t="shared" si="4"/>
        <v>C</v>
      </c>
      <c r="S42" s="10"/>
      <c r="Z42" s="12" t="s">
        <v>116</v>
      </c>
      <c r="AA42" s="12"/>
      <c r="AB42" s="12">
        <v>5</v>
      </c>
      <c r="AC42" s="12">
        <v>5</v>
      </c>
      <c r="AJ42" s="42" t="s">
        <v>29</v>
      </c>
      <c r="AK42" s="42">
        <v>3</v>
      </c>
      <c r="AL42" s="42"/>
      <c r="AM42" s="42">
        <v>3</v>
      </c>
      <c r="AO42" s="48" t="s">
        <v>115</v>
      </c>
      <c r="AP42" s="49">
        <v>1</v>
      </c>
      <c r="AQ42" s="49">
        <v>5</v>
      </c>
      <c r="AR42" s="49">
        <v>1</v>
      </c>
    </row>
    <row r="43" spans="3:44" ht="15.6" x14ac:dyDescent="0.3">
      <c r="C43" s="3"/>
      <c r="D43" s="14" t="s">
        <v>32</v>
      </c>
      <c r="E43" s="53">
        <f t="shared" si="2"/>
        <v>600</v>
      </c>
      <c r="F43" s="21">
        <v>2.7935561970388306E-3</v>
      </c>
      <c r="G43" s="21">
        <f t="shared" si="6"/>
        <v>0.99790483285222087</v>
      </c>
      <c r="I43" s="8"/>
      <c r="J43" s="20"/>
      <c r="K43" s="20"/>
      <c r="N43" s="12" t="s">
        <v>32</v>
      </c>
      <c r="O43" s="12">
        <v>600</v>
      </c>
      <c r="P43" s="23">
        <f t="shared" si="0"/>
        <v>2.7935561970388306E-3</v>
      </c>
      <c r="Q43" s="23">
        <f t="shared" si="10"/>
        <v>0.99790483285222087</v>
      </c>
      <c r="R43" s="23" t="str">
        <f t="shared" si="4"/>
        <v>C</v>
      </c>
      <c r="S43" s="10"/>
      <c r="Z43" s="12" t="s">
        <v>57</v>
      </c>
      <c r="AA43" s="12"/>
      <c r="AB43" s="12">
        <v>2</v>
      </c>
      <c r="AC43" s="12">
        <v>2</v>
      </c>
      <c r="AJ43" s="42" t="s">
        <v>32</v>
      </c>
      <c r="AK43" s="42"/>
      <c r="AL43" s="42"/>
      <c r="AM43" s="42">
        <v>1</v>
      </c>
      <c r="AO43" s="50" t="s">
        <v>8</v>
      </c>
      <c r="AP43" s="35">
        <v>1</v>
      </c>
      <c r="AQ43" s="35">
        <v>5</v>
      </c>
      <c r="AR43" s="35">
        <v>1</v>
      </c>
    </row>
    <row r="44" spans="3:44" ht="15.6" x14ac:dyDescent="0.3">
      <c r="C44" s="3"/>
      <c r="D44" s="14" t="s">
        <v>118</v>
      </c>
      <c r="E44" s="53">
        <f t="shared" si="2"/>
        <v>250</v>
      </c>
      <c r="F44" s="21">
        <v>1.1639817487661794E-3</v>
      </c>
      <c r="G44" s="21">
        <f t="shared" si="6"/>
        <v>0.99906881460098707</v>
      </c>
      <c r="I44" s="8"/>
      <c r="J44" s="20"/>
      <c r="K44" s="20"/>
      <c r="N44" s="12" t="s">
        <v>118</v>
      </c>
      <c r="O44" s="12">
        <v>250</v>
      </c>
      <c r="P44" s="23">
        <f t="shared" si="0"/>
        <v>1.1639817487661794E-3</v>
      </c>
      <c r="Q44" s="23">
        <f t="shared" si="10"/>
        <v>0.99906881460098707</v>
      </c>
      <c r="R44" s="23" t="str">
        <f t="shared" si="4"/>
        <v>C</v>
      </c>
      <c r="S44" s="10"/>
      <c r="Z44" s="12" t="s">
        <v>113</v>
      </c>
      <c r="AA44" s="12"/>
      <c r="AB44" s="12">
        <v>2</v>
      </c>
      <c r="AC44" s="12">
        <v>2</v>
      </c>
      <c r="AJ44" s="42" t="s">
        <v>114</v>
      </c>
      <c r="AK44" s="42">
        <v>1</v>
      </c>
      <c r="AL44" s="42"/>
      <c r="AM44" s="42"/>
      <c r="AO44" s="48" t="s">
        <v>103</v>
      </c>
      <c r="AP44" s="49">
        <v>2</v>
      </c>
      <c r="AQ44" s="49">
        <v>4</v>
      </c>
      <c r="AR44" s="49">
        <v>3</v>
      </c>
    </row>
    <row r="45" spans="3:44" ht="15.6" x14ac:dyDescent="0.3">
      <c r="C45" s="3"/>
      <c r="D45" s="14" t="s">
        <v>79</v>
      </c>
      <c r="E45" s="53">
        <f t="shared" si="2"/>
        <v>200</v>
      </c>
      <c r="F45" s="21">
        <v>9.3118539901294352E-4</v>
      </c>
      <c r="G45" s="21">
        <f t="shared" si="6"/>
        <v>1</v>
      </c>
      <c r="I45" s="8"/>
      <c r="J45" s="20"/>
      <c r="K45" s="20"/>
      <c r="N45" s="12" t="s">
        <v>79</v>
      </c>
      <c r="O45" s="12">
        <v>200</v>
      </c>
      <c r="P45" s="23">
        <f t="shared" si="0"/>
        <v>9.3118539901294352E-4</v>
      </c>
      <c r="Q45" s="23">
        <f t="shared" si="10"/>
        <v>1</v>
      </c>
      <c r="R45" s="23" t="str">
        <f t="shared" si="4"/>
        <v>C</v>
      </c>
      <c r="S45" s="10"/>
      <c r="Z45" s="12" t="s">
        <v>56</v>
      </c>
      <c r="AA45" s="12"/>
      <c r="AB45" s="12">
        <v>4</v>
      </c>
      <c r="AC45" s="12">
        <v>4</v>
      </c>
      <c r="AJ45" s="42" t="s">
        <v>86</v>
      </c>
      <c r="AK45" s="42"/>
      <c r="AL45" s="42"/>
      <c r="AM45" s="42">
        <v>2</v>
      </c>
      <c r="AO45" s="50" t="s">
        <v>6</v>
      </c>
      <c r="AP45" s="35"/>
      <c r="AQ45" s="35">
        <v>1</v>
      </c>
      <c r="AR45" s="35">
        <v>1</v>
      </c>
    </row>
    <row r="46" spans="3:44" ht="15.6" x14ac:dyDescent="0.3">
      <c r="C46" s="3"/>
      <c r="D46" s="8"/>
      <c r="E46" s="14"/>
      <c r="H46" s="8"/>
      <c r="I46" s="20"/>
      <c r="J46" s="20"/>
      <c r="N46" s="24" t="s">
        <v>142</v>
      </c>
      <c r="O46" s="62">
        <f>SUM(O3:O45)</f>
        <v>214780</v>
      </c>
      <c r="Z46" s="37" t="s">
        <v>153</v>
      </c>
      <c r="AA46" s="30">
        <f>SUM(AA3:AA45)</f>
        <v>92</v>
      </c>
      <c r="AB46" s="30">
        <f>SUM(AB3:AB45)</f>
        <v>435</v>
      </c>
      <c r="AC46" s="30">
        <f>SUM(AC3:AC45)</f>
        <v>527</v>
      </c>
      <c r="AJ46" s="31" t="s">
        <v>153</v>
      </c>
      <c r="AK46" s="31">
        <f>SUM(AK3:AK45)</f>
        <v>72</v>
      </c>
      <c r="AL46" s="31">
        <f>SUM(AL3:AL45)</f>
        <v>202</v>
      </c>
      <c r="AM46" s="17">
        <f>SUM(AM3:AM45)</f>
        <v>253</v>
      </c>
      <c r="AO46" s="50" t="s">
        <v>8</v>
      </c>
      <c r="AP46" s="35">
        <v>2</v>
      </c>
      <c r="AQ46" s="35">
        <v>3</v>
      </c>
      <c r="AR46" s="35">
        <v>2</v>
      </c>
    </row>
    <row r="47" spans="3:44" ht="15.6" x14ac:dyDescent="0.3">
      <c r="C47" s="3"/>
      <c r="D47" s="8"/>
      <c r="H47" s="8"/>
      <c r="I47" s="20"/>
      <c r="J47" s="20"/>
    </row>
    <row r="48" spans="3:44" ht="15.6" x14ac:dyDescent="0.3">
      <c r="C48" s="3"/>
      <c r="D48" s="8"/>
      <c r="H48" s="8"/>
      <c r="I48" s="20"/>
      <c r="J48" s="20"/>
    </row>
    <row r="49" spans="3:10" ht="15.6" x14ac:dyDescent="0.3">
      <c r="C49" s="3"/>
      <c r="D49" s="8"/>
      <c r="H49" s="8"/>
      <c r="I49" s="20"/>
      <c r="J49" s="20"/>
    </row>
    <row r="50" spans="3:10" ht="15.6" x14ac:dyDescent="0.3">
      <c r="C50" s="3"/>
      <c r="D50" s="8"/>
      <c r="H50" s="8"/>
      <c r="I50" s="20"/>
      <c r="J50" s="20"/>
    </row>
    <row r="51" spans="3:10" ht="15.6" x14ac:dyDescent="0.3">
      <c r="C51" s="3"/>
      <c r="D51" s="8"/>
      <c r="H51" s="8"/>
      <c r="I51" s="20"/>
      <c r="J51" s="20"/>
    </row>
    <row r="52" spans="3:10" ht="15.6" x14ac:dyDescent="0.3">
      <c r="C52" s="3"/>
      <c r="D52" s="8"/>
      <c r="H52" s="8"/>
      <c r="I52" s="20"/>
      <c r="J52" s="20"/>
    </row>
    <row r="53" spans="3:10" ht="15.6" x14ac:dyDescent="0.3">
      <c r="C53" s="3"/>
      <c r="D53" s="8"/>
      <c r="H53" s="8"/>
      <c r="I53" s="20"/>
      <c r="J53" s="20"/>
    </row>
    <row r="54" spans="3:10" ht="15.6" x14ac:dyDescent="0.3">
      <c r="C54" s="3"/>
      <c r="D54" s="8"/>
      <c r="H54" s="8"/>
      <c r="I54" s="20"/>
      <c r="J54" s="20"/>
    </row>
    <row r="55" spans="3:10" ht="15.6" x14ac:dyDescent="0.3">
      <c r="C55" s="3"/>
      <c r="D55" s="8"/>
      <c r="H55" s="8"/>
      <c r="I55" s="20"/>
      <c r="J55" s="20"/>
    </row>
    <row r="56" spans="3:10" ht="15.6" x14ac:dyDescent="0.3">
      <c r="C56" s="3"/>
      <c r="D56" s="8"/>
      <c r="H56" s="8"/>
      <c r="I56" s="20"/>
      <c r="J56" s="20"/>
    </row>
    <row r="57" spans="3:10" ht="15.6" x14ac:dyDescent="0.3">
      <c r="C57" s="3"/>
      <c r="D57" s="8"/>
      <c r="H57" s="8"/>
      <c r="I57" s="20"/>
      <c r="J57" s="20"/>
    </row>
    <row r="58" spans="3:10" ht="15.6" x14ac:dyDescent="0.3">
      <c r="C58" s="3"/>
      <c r="D58" s="8"/>
      <c r="H58" s="8"/>
      <c r="I58" s="20"/>
      <c r="J58" s="20"/>
    </row>
    <row r="59" spans="3:10" ht="15.6" x14ac:dyDescent="0.3">
      <c r="C59" s="3"/>
      <c r="D59" s="8"/>
      <c r="H59" s="8"/>
      <c r="I59" s="20"/>
      <c r="J59" s="20"/>
    </row>
    <row r="60" spans="3:10" ht="15.6" x14ac:dyDescent="0.3">
      <c r="C60" s="3"/>
      <c r="D60" s="13"/>
    </row>
    <row r="61" spans="3:10" ht="15.6" x14ac:dyDescent="0.3">
      <c r="C61" s="3"/>
      <c r="D61" s="13"/>
    </row>
    <row r="62" spans="3:10" ht="15.6" x14ac:dyDescent="0.3">
      <c r="C62" s="3"/>
      <c r="D62" s="13"/>
    </row>
    <row r="63" spans="3:10" ht="15.6" x14ac:dyDescent="0.3">
      <c r="C63" s="3"/>
      <c r="D63" s="13"/>
    </row>
    <row r="64" spans="3:10" ht="15.6" x14ac:dyDescent="0.3">
      <c r="C64" s="3"/>
      <c r="D64" s="13"/>
    </row>
    <row r="65" spans="3:4" ht="15.6" x14ac:dyDescent="0.3">
      <c r="C65" s="3"/>
      <c r="D65" s="3"/>
    </row>
    <row r="66" spans="3:4" ht="15.6" x14ac:dyDescent="0.3">
      <c r="C66" s="3"/>
      <c r="D66" s="13"/>
    </row>
    <row r="67" spans="3:4" ht="15.6" x14ac:dyDescent="0.3">
      <c r="C67" s="3"/>
      <c r="D67" s="13"/>
    </row>
    <row r="68" spans="3:4" ht="15.6" x14ac:dyDescent="0.3">
      <c r="C68" s="3"/>
      <c r="D68" s="3"/>
    </row>
    <row r="69" spans="3:4" ht="15.6" x14ac:dyDescent="0.3">
      <c r="C69" s="3"/>
      <c r="D69" s="13"/>
    </row>
    <row r="70" spans="3:4" ht="15.6" x14ac:dyDescent="0.3">
      <c r="C70" s="3"/>
      <c r="D70" s="13"/>
    </row>
    <row r="71" spans="3:4" ht="15.6" x14ac:dyDescent="0.3">
      <c r="C71" s="3"/>
      <c r="D71" s="13"/>
    </row>
    <row r="72" spans="3:4" ht="15.6" x14ac:dyDescent="0.3">
      <c r="C72" s="3"/>
      <c r="D72" s="13"/>
    </row>
    <row r="73" spans="3:4" ht="15.6" x14ac:dyDescent="0.3">
      <c r="C73" s="3"/>
      <c r="D73" s="13"/>
    </row>
    <row r="74" spans="3:4" ht="15.6" x14ac:dyDescent="0.3">
      <c r="C74" s="3"/>
      <c r="D74" s="13"/>
    </row>
    <row r="75" spans="3:4" ht="15.6" x14ac:dyDescent="0.3">
      <c r="C75" s="3"/>
      <c r="D75" s="13"/>
    </row>
    <row r="76" spans="3:4" ht="15.6" x14ac:dyDescent="0.3">
      <c r="C76" s="3"/>
      <c r="D76" s="13"/>
    </row>
    <row r="77" spans="3:4" ht="15.6" x14ac:dyDescent="0.3">
      <c r="C77" s="3"/>
      <c r="D77" s="13"/>
    </row>
    <row r="78" spans="3:4" ht="15.6" x14ac:dyDescent="0.3">
      <c r="C78" s="3"/>
      <c r="D78" s="3"/>
    </row>
    <row r="79" spans="3:4" ht="15.6" x14ac:dyDescent="0.3">
      <c r="C79" s="3"/>
      <c r="D79" s="13"/>
    </row>
    <row r="80" spans="3:4" ht="15.6" x14ac:dyDescent="0.3">
      <c r="C80" s="3"/>
      <c r="D80" s="13"/>
    </row>
    <row r="81" spans="3:4" ht="15.6" x14ac:dyDescent="0.3">
      <c r="C81" s="3"/>
      <c r="D81" s="13"/>
    </row>
    <row r="82" spans="3:4" ht="15.6" x14ac:dyDescent="0.3">
      <c r="C82" s="3"/>
      <c r="D82" s="13"/>
    </row>
    <row r="83" spans="3:4" ht="15.6" x14ac:dyDescent="0.3">
      <c r="C83" s="3"/>
      <c r="D83" s="13"/>
    </row>
    <row r="84" spans="3:4" ht="15.6" x14ac:dyDescent="0.3">
      <c r="C84" s="3"/>
      <c r="D84" s="13"/>
    </row>
    <row r="85" spans="3:4" ht="15.6" x14ac:dyDescent="0.3">
      <c r="C85" s="3"/>
      <c r="D85" s="13"/>
    </row>
    <row r="86" spans="3:4" ht="15.6" x14ac:dyDescent="0.3">
      <c r="C86" s="3"/>
      <c r="D86" s="13"/>
    </row>
    <row r="87" spans="3:4" ht="15.6" x14ac:dyDescent="0.3">
      <c r="C87" s="3"/>
      <c r="D87" s="13"/>
    </row>
    <row r="88" spans="3:4" ht="15.6" x14ac:dyDescent="0.3">
      <c r="C88" s="3"/>
      <c r="D88" s="3"/>
    </row>
    <row r="89" spans="3:4" ht="15.6" x14ac:dyDescent="0.3">
      <c r="C89" s="3"/>
      <c r="D89" s="13"/>
    </row>
    <row r="90" spans="3:4" ht="15.6" x14ac:dyDescent="0.3">
      <c r="C90" s="3"/>
      <c r="D90" s="13"/>
    </row>
    <row r="91" spans="3:4" ht="15.6" x14ac:dyDescent="0.3">
      <c r="C91" s="15"/>
      <c r="D91" s="13"/>
    </row>
    <row r="92" spans="3:4" ht="15.6" x14ac:dyDescent="0.3">
      <c r="C92" s="3"/>
      <c r="D92" s="13"/>
    </row>
    <row r="93" spans="3:4" ht="15.6" x14ac:dyDescent="0.3">
      <c r="C93" s="15"/>
      <c r="D93" s="13"/>
    </row>
    <row r="94" spans="3:4" ht="15.6" x14ac:dyDescent="0.3">
      <c r="C94" s="15"/>
      <c r="D94" s="3"/>
    </row>
    <row r="95" spans="3:4" ht="15.6" x14ac:dyDescent="0.3">
      <c r="C95" s="3"/>
      <c r="D95" s="13"/>
    </row>
    <row r="96" spans="3:4" ht="15.6" x14ac:dyDescent="0.3">
      <c r="C96" s="15"/>
      <c r="D96" s="13"/>
    </row>
    <row r="97" spans="3:4" ht="15.6" x14ac:dyDescent="0.3">
      <c r="C97" s="3"/>
      <c r="D97" s="13"/>
    </row>
    <row r="98" spans="3:4" ht="15.6" x14ac:dyDescent="0.3">
      <c r="C98" s="3"/>
      <c r="D98" s="3"/>
    </row>
    <row r="99" spans="3:4" ht="15.6" x14ac:dyDescent="0.3">
      <c r="C99" s="15"/>
      <c r="D99" s="13"/>
    </row>
    <row r="100" spans="3:4" ht="15.6" x14ac:dyDescent="0.3">
      <c r="C100" s="3"/>
      <c r="D100" s="13"/>
    </row>
    <row r="101" spans="3:4" ht="15.6" x14ac:dyDescent="0.3">
      <c r="C101" s="3"/>
      <c r="D101" s="3"/>
    </row>
    <row r="102" spans="3:4" ht="15.6" x14ac:dyDescent="0.3">
      <c r="C102" s="3"/>
      <c r="D102" s="13"/>
    </row>
    <row r="103" spans="3:4" ht="15.6" x14ac:dyDescent="0.3">
      <c r="C103" s="3"/>
      <c r="D103" s="13"/>
    </row>
    <row r="104" spans="3:4" ht="15.6" x14ac:dyDescent="0.3">
      <c r="C104" s="3"/>
      <c r="D104" s="13"/>
    </row>
    <row r="105" spans="3:4" ht="15.6" x14ac:dyDescent="0.3">
      <c r="C105" s="3"/>
      <c r="D105" s="13"/>
    </row>
    <row r="106" spans="3:4" ht="15.6" x14ac:dyDescent="0.3">
      <c r="C106" s="3"/>
      <c r="D106" s="3"/>
    </row>
    <row r="107" spans="3:4" ht="15.6" x14ac:dyDescent="0.3">
      <c r="C107" s="3"/>
      <c r="D107" s="3"/>
    </row>
    <row r="108" spans="3:4" ht="15.6" x14ac:dyDescent="0.3">
      <c r="C108" s="3"/>
      <c r="D108" s="13"/>
    </row>
    <row r="109" spans="3:4" ht="15.6" x14ac:dyDescent="0.3">
      <c r="C109" s="3"/>
      <c r="D109" s="13"/>
    </row>
    <row r="110" spans="3:4" ht="15.6" x14ac:dyDescent="0.3">
      <c r="C110" s="3"/>
      <c r="D110" s="13"/>
    </row>
    <row r="111" spans="3:4" ht="15.6" x14ac:dyDescent="0.3">
      <c r="C111" s="3"/>
      <c r="D111" s="13"/>
    </row>
    <row r="112" spans="3:4" ht="15.6" x14ac:dyDescent="0.3">
      <c r="C112" s="3"/>
      <c r="D112" s="13"/>
    </row>
    <row r="113" spans="3:4" ht="15.6" x14ac:dyDescent="0.3">
      <c r="C113" s="15"/>
      <c r="D113" s="13"/>
    </row>
    <row r="114" spans="3:4" ht="15.6" x14ac:dyDescent="0.3">
      <c r="C114" s="3"/>
      <c r="D114" s="13"/>
    </row>
    <row r="115" spans="3:4" ht="15.6" x14ac:dyDescent="0.3">
      <c r="C115" s="3"/>
      <c r="D115" s="13"/>
    </row>
    <row r="116" spans="3:4" ht="15.6" x14ac:dyDescent="0.3">
      <c r="C116" s="15"/>
      <c r="D116" s="13"/>
    </row>
    <row r="117" spans="3:4" ht="15.6" x14ac:dyDescent="0.3">
      <c r="C117" s="3"/>
      <c r="D117" s="13"/>
    </row>
    <row r="118" spans="3:4" ht="15.6" x14ac:dyDescent="0.3">
      <c r="C118" s="3"/>
      <c r="D118" s="13"/>
    </row>
    <row r="119" spans="3:4" ht="15.6" x14ac:dyDescent="0.3">
      <c r="C119" s="3"/>
      <c r="D119" s="13"/>
    </row>
    <row r="120" spans="3:4" ht="15.6" x14ac:dyDescent="0.3">
      <c r="C120" s="15"/>
      <c r="D120" s="13"/>
    </row>
    <row r="121" spans="3:4" ht="15.6" x14ac:dyDescent="0.3">
      <c r="C121" s="3"/>
      <c r="D121" s="13"/>
    </row>
    <row r="122" spans="3:4" ht="15.6" x14ac:dyDescent="0.3">
      <c r="C122" s="3"/>
      <c r="D122" s="13"/>
    </row>
    <row r="123" spans="3:4" ht="15.6" x14ac:dyDescent="0.3">
      <c r="C123" s="3"/>
      <c r="D123" s="13"/>
    </row>
    <row r="124" spans="3:4" ht="15.6" x14ac:dyDescent="0.3">
      <c r="C124" s="3"/>
      <c r="D124" s="3"/>
    </row>
    <row r="125" spans="3:4" ht="15.6" x14ac:dyDescent="0.3">
      <c r="C125" s="3"/>
      <c r="D125" s="13"/>
    </row>
    <row r="126" spans="3:4" ht="15.6" x14ac:dyDescent="0.3">
      <c r="C126" s="3"/>
      <c r="D126" s="13"/>
    </row>
    <row r="127" spans="3:4" ht="15.6" x14ac:dyDescent="0.3">
      <c r="C127" s="3"/>
      <c r="D127" s="13"/>
    </row>
    <row r="128" spans="3:4" ht="15.6" x14ac:dyDescent="0.3">
      <c r="C128" s="15"/>
      <c r="D128" s="13"/>
    </row>
    <row r="129" spans="3:4" ht="15.6" x14ac:dyDescent="0.3">
      <c r="C129" s="15"/>
      <c r="D129" s="3"/>
    </row>
    <row r="130" spans="3:4" ht="15.6" x14ac:dyDescent="0.3">
      <c r="C130" s="3"/>
      <c r="D130" s="13"/>
    </row>
    <row r="131" spans="3:4" ht="15.6" x14ac:dyDescent="0.3">
      <c r="C131" s="3"/>
      <c r="D131" s="13"/>
    </row>
    <row r="132" spans="3:4" ht="15.6" x14ac:dyDescent="0.3">
      <c r="C132" s="15"/>
      <c r="D132" s="13"/>
    </row>
    <row r="133" spans="3:4" ht="15.6" x14ac:dyDescent="0.3">
      <c r="C133" s="15"/>
      <c r="D133" s="13"/>
    </row>
    <row r="134" spans="3:4" ht="15.6" x14ac:dyDescent="0.3">
      <c r="C134" s="15"/>
      <c r="D134" s="13"/>
    </row>
    <row r="135" spans="3:4" ht="15.6" x14ac:dyDescent="0.3">
      <c r="C135" s="3"/>
      <c r="D135" s="13"/>
    </row>
    <row r="136" spans="3:4" ht="15.6" x14ac:dyDescent="0.3">
      <c r="C136" s="3"/>
      <c r="D136" s="13"/>
    </row>
    <row r="137" spans="3:4" ht="15.6" x14ac:dyDescent="0.3">
      <c r="C137" s="3"/>
      <c r="D137" s="13"/>
    </row>
    <row r="138" spans="3:4" ht="15.6" x14ac:dyDescent="0.3">
      <c r="C138" s="3"/>
      <c r="D138" s="13"/>
    </row>
    <row r="139" spans="3:4" ht="15.6" x14ac:dyDescent="0.3">
      <c r="C139" s="3"/>
      <c r="D139" s="3"/>
    </row>
    <row r="140" spans="3:4" ht="15.6" x14ac:dyDescent="0.3">
      <c r="C140" s="15"/>
      <c r="D140" s="13"/>
    </row>
    <row r="141" spans="3:4" ht="15.6" x14ac:dyDescent="0.3">
      <c r="C141" s="15"/>
      <c r="D141" s="13"/>
    </row>
    <row r="142" spans="3:4" ht="15.6" x14ac:dyDescent="0.3">
      <c r="C142" s="3"/>
      <c r="D142" s="13"/>
    </row>
    <row r="143" spans="3:4" ht="15.6" x14ac:dyDescent="0.3">
      <c r="C143" s="3"/>
      <c r="D143" s="13"/>
    </row>
    <row r="144" spans="3:4" ht="15.6" x14ac:dyDescent="0.3">
      <c r="C144" s="3"/>
      <c r="D144" s="13"/>
    </row>
    <row r="145" spans="3:4" ht="15.6" x14ac:dyDescent="0.3">
      <c r="C145" s="15"/>
      <c r="D145" s="13"/>
    </row>
    <row r="146" spans="3:4" ht="15.6" x14ac:dyDescent="0.3">
      <c r="C146" s="3"/>
      <c r="D146" s="13"/>
    </row>
    <row r="147" spans="3:4" ht="15.6" x14ac:dyDescent="0.3">
      <c r="C147" s="3"/>
      <c r="D147" s="13"/>
    </row>
    <row r="148" spans="3:4" ht="15.6" x14ac:dyDescent="0.3">
      <c r="C148" s="15"/>
      <c r="D148" s="13"/>
    </row>
    <row r="149" spans="3:4" ht="15.6" x14ac:dyDescent="0.3">
      <c r="C149" s="3"/>
      <c r="D149" s="3"/>
    </row>
    <row r="150" spans="3:4" ht="15.6" x14ac:dyDescent="0.3">
      <c r="C150" s="15"/>
      <c r="D150" s="3"/>
    </row>
    <row r="151" spans="3:4" ht="15.6" x14ac:dyDescent="0.3">
      <c r="C151" s="3"/>
      <c r="D151" s="13"/>
    </row>
    <row r="152" spans="3:4" ht="15.6" x14ac:dyDescent="0.3">
      <c r="C152" s="3"/>
      <c r="D152" s="13"/>
    </row>
    <row r="153" spans="3:4" ht="15.6" x14ac:dyDescent="0.3">
      <c r="C153" s="3"/>
      <c r="D153" s="3"/>
    </row>
    <row r="154" spans="3:4" ht="15.6" x14ac:dyDescent="0.3">
      <c r="C154" s="3"/>
      <c r="D154" s="13"/>
    </row>
    <row r="155" spans="3:4" ht="15.6" x14ac:dyDescent="0.3">
      <c r="C155" s="15"/>
      <c r="D155" s="13"/>
    </row>
    <row r="156" spans="3:4" ht="15.6" x14ac:dyDescent="0.3">
      <c r="C156" s="3"/>
      <c r="D156" s="13"/>
    </row>
    <row r="157" spans="3:4" ht="15.6" x14ac:dyDescent="0.3">
      <c r="C157" s="3"/>
      <c r="D157" s="13"/>
    </row>
    <row r="158" spans="3:4" ht="15.6" x14ac:dyDescent="0.3">
      <c r="C158" s="3"/>
      <c r="D158" s="13"/>
    </row>
    <row r="159" spans="3:4" ht="15.6" x14ac:dyDescent="0.3">
      <c r="C159" s="3"/>
      <c r="D159" s="13"/>
    </row>
    <row r="160" spans="3:4" ht="15.6" x14ac:dyDescent="0.3">
      <c r="C160" s="15"/>
      <c r="D160" s="3"/>
    </row>
    <row r="161" spans="3:4" ht="15.6" x14ac:dyDescent="0.3">
      <c r="C161" s="3"/>
      <c r="D161" s="3"/>
    </row>
    <row r="162" spans="3:4" ht="15.6" x14ac:dyDescent="0.3">
      <c r="C162" s="15"/>
      <c r="D162" s="3"/>
    </row>
    <row r="163" spans="3:4" ht="15.6" x14ac:dyDescent="0.3">
      <c r="C163" s="3"/>
      <c r="D163" s="13"/>
    </row>
    <row r="164" spans="3:4" ht="15.6" x14ac:dyDescent="0.3">
      <c r="C164" s="3"/>
      <c r="D164" s="13"/>
    </row>
    <row r="165" spans="3:4" ht="15.6" x14ac:dyDescent="0.3">
      <c r="C165" s="3"/>
      <c r="D165" s="13"/>
    </row>
    <row r="166" spans="3:4" ht="15.6" x14ac:dyDescent="0.3">
      <c r="C166" s="3"/>
      <c r="D166" s="13"/>
    </row>
    <row r="167" spans="3:4" ht="15.6" x14ac:dyDescent="0.3">
      <c r="C167" s="15"/>
      <c r="D167" s="13"/>
    </row>
    <row r="168" spans="3:4" ht="15.6" x14ac:dyDescent="0.3">
      <c r="C168" s="3"/>
      <c r="D168" s="13"/>
    </row>
    <row r="169" spans="3:4" ht="15.6" x14ac:dyDescent="0.3">
      <c r="C169" s="3"/>
      <c r="D169" s="3"/>
    </row>
    <row r="170" spans="3:4" ht="15.6" x14ac:dyDescent="0.3">
      <c r="C170" s="3"/>
      <c r="D170" s="13"/>
    </row>
    <row r="171" spans="3:4" ht="15.6" x14ac:dyDescent="0.3">
      <c r="C171" s="15"/>
      <c r="D171" s="13"/>
    </row>
    <row r="172" spans="3:4" ht="15.6" x14ac:dyDescent="0.3">
      <c r="C172" s="3"/>
      <c r="D172" s="13"/>
    </row>
    <row r="173" spans="3:4" ht="15.6" x14ac:dyDescent="0.3">
      <c r="C173" s="3"/>
      <c r="D173" s="13"/>
    </row>
    <row r="174" spans="3:4" ht="15.6" x14ac:dyDescent="0.3">
      <c r="C174" s="3"/>
      <c r="D174" s="13"/>
    </row>
    <row r="175" spans="3:4" ht="15.6" x14ac:dyDescent="0.3">
      <c r="C175" s="15"/>
      <c r="D175" s="13"/>
    </row>
    <row r="176" spans="3:4" ht="15.6" x14ac:dyDescent="0.3">
      <c r="C176" s="15"/>
      <c r="D176" s="3"/>
    </row>
    <row r="177" spans="3:4" ht="15.6" x14ac:dyDescent="0.3">
      <c r="C177" s="3"/>
      <c r="D177" s="13"/>
    </row>
    <row r="178" spans="3:4" ht="15.6" x14ac:dyDescent="0.3">
      <c r="C178" s="3"/>
      <c r="D178" s="13"/>
    </row>
    <row r="179" spans="3:4" ht="15.6" x14ac:dyDescent="0.3">
      <c r="C179" s="15"/>
      <c r="D179" s="13"/>
    </row>
    <row r="180" spans="3:4" ht="15.6" x14ac:dyDescent="0.3">
      <c r="C180" s="3"/>
      <c r="D180" s="3"/>
    </row>
    <row r="181" spans="3:4" ht="15.6" x14ac:dyDescent="0.3">
      <c r="C181" s="15"/>
      <c r="D181" s="13"/>
    </row>
    <row r="182" spans="3:4" ht="15.6" x14ac:dyDescent="0.3">
      <c r="C182" s="3"/>
      <c r="D182" s="13"/>
    </row>
    <row r="183" spans="3:4" ht="15.6" x14ac:dyDescent="0.3">
      <c r="C183" s="3"/>
      <c r="D183" s="13"/>
    </row>
    <row r="184" spans="3:4" ht="15.6" x14ac:dyDescent="0.3">
      <c r="C184" s="3"/>
      <c r="D184" s="13"/>
    </row>
    <row r="185" spans="3:4" ht="15.6" x14ac:dyDescent="0.3">
      <c r="C185" s="3"/>
      <c r="D185" s="13"/>
    </row>
    <row r="186" spans="3:4" ht="15.6" x14ac:dyDescent="0.3">
      <c r="C186" s="3"/>
      <c r="D186" s="13"/>
    </row>
    <row r="187" spans="3:4" ht="15.6" x14ac:dyDescent="0.3">
      <c r="C187" s="3"/>
      <c r="D187" s="13"/>
    </row>
    <row r="188" spans="3:4" ht="15.6" x14ac:dyDescent="0.3">
      <c r="C188" s="3"/>
      <c r="D188" s="13"/>
    </row>
    <row r="189" spans="3:4" ht="15.6" x14ac:dyDescent="0.3">
      <c r="C189" s="3"/>
      <c r="D189" s="3"/>
    </row>
    <row r="190" spans="3:4" ht="15.6" x14ac:dyDescent="0.3">
      <c r="C190" s="15"/>
      <c r="D190" s="13"/>
    </row>
    <row r="191" spans="3:4" ht="15.6" x14ac:dyDescent="0.3">
      <c r="C191" s="3"/>
      <c r="D191" s="13"/>
    </row>
    <row r="192" spans="3:4" ht="15.6" x14ac:dyDescent="0.3">
      <c r="C192" s="3"/>
      <c r="D192" s="13"/>
    </row>
    <row r="193" spans="3:4" ht="15.6" x14ac:dyDescent="0.3">
      <c r="C193" s="3"/>
      <c r="D193" s="13"/>
    </row>
    <row r="194" spans="3:4" ht="15.6" x14ac:dyDescent="0.3">
      <c r="C194" s="15"/>
      <c r="D194" s="13"/>
    </row>
    <row r="195" spans="3:4" ht="15.6" x14ac:dyDescent="0.3">
      <c r="C195" s="15"/>
      <c r="D195" s="13"/>
    </row>
    <row r="196" spans="3:4" ht="15.6" x14ac:dyDescent="0.3">
      <c r="C196" s="3"/>
      <c r="D196" s="13"/>
    </row>
    <row r="197" spans="3:4" ht="15.6" x14ac:dyDescent="0.3">
      <c r="C197" s="15"/>
      <c r="D197" s="13"/>
    </row>
    <row r="198" spans="3:4" ht="15.6" x14ac:dyDescent="0.3">
      <c r="C198" s="3"/>
      <c r="D198" s="3"/>
    </row>
    <row r="199" spans="3:4" ht="15.6" x14ac:dyDescent="0.3">
      <c r="C199" s="3"/>
      <c r="D199" s="3"/>
    </row>
    <row r="200" spans="3:4" ht="15.6" x14ac:dyDescent="0.3">
      <c r="C200" s="3"/>
      <c r="D200" s="13"/>
    </row>
    <row r="201" spans="3:4" ht="15.6" x14ac:dyDescent="0.3">
      <c r="C201" s="15"/>
      <c r="D201" s="13"/>
    </row>
    <row r="202" spans="3:4" ht="15.6" x14ac:dyDescent="0.3">
      <c r="C202" s="3"/>
      <c r="D202" s="13"/>
    </row>
    <row r="203" spans="3:4" ht="15.6" x14ac:dyDescent="0.3">
      <c r="C203" s="3"/>
      <c r="D203" s="13"/>
    </row>
    <row r="204" spans="3:4" ht="15.6" x14ac:dyDescent="0.3">
      <c r="C204" s="3"/>
      <c r="D204" s="13"/>
    </row>
    <row r="205" spans="3:4" ht="15.6" x14ac:dyDescent="0.3">
      <c r="C205" s="3"/>
      <c r="D205" s="13"/>
    </row>
    <row r="206" spans="3:4" ht="15.6" x14ac:dyDescent="0.3">
      <c r="C206" s="3"/>
      <c r="D206" s="13"/>
    </row>
    <row r="207" spans="3:4" ht="15.6" x14ac:dyDescent="0.3">
      <c r="D207" s="13"/>
    </row>
    <row r="208" spans="3:4" ht="15.6" x14ac:dyDescent="0.3">
      <c r="D208" s="13">
        <v>60</v>
      </c>
    </row>
  </sheetData>
  <mergeCells count="21">
    <mergeCell ref="A11:B11"/>
    <mergeCell ref="A1:B1"/>
    <mergeCell ref="D1:F1"/>
    <mergeCell ref="I1:L1"/>
    <mergeCell ref="N1:R1"/>
    <mergeCell ref="A21:B21"/>
    <mergeCell ref="T20:V20"/>
    <mergeCell ref="T28:V28"/>
    <mergeCell ref="I18:K18"/>
    <mergeCell ref="I24:K24"/>
    <mergeCell ref="AO19:AR19"/>
    <mergeCell ref="AE37:AF37"/>
    <mergeCell ref="I30:L30"/>
    <mergeCell ref="AE19:AF19"/>
    <mergeCell ref="AE25:AF25"/>
    <mergeCell ref="AE31:AF31"/>
    <mergeCell ref="Z1:AC1"/>
    <mergeCell ref="AE1:AH1"/>
    <mergeCell ref="AJ1:AM1"/>
    <mergeCell ref="AO1:AR1"/>
    <mergeCell ref="T1:X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81EF-64E6-46E1-8E47-FF73783C4976}">
  <dimension ref="A1"/>
  <sheetViews>
    <sheetView zoomScale="106" zoomScaleNormal="63" workbookViewId="0">
      <selection activeCell="AJ1" sqref="AJ1"/>
    </sheetView>
  </sheetViews>
  <sheetFormatPr defaultRowHeight="14.4" x14ac:dyDescent="0.3"/>
  <cols>
    <col min="1" max="1" width="16.44140625" customWidth="1"/>
    <col min="2" max="2" width="20" customWidth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 Data</vt:lpstr>
      <vt:lpstr>Price_List</vt:lpstr>
      <vt:lpstr>Cleaned_Data</vt:lpstr>
      <vt:lpstr>Business_Statistics</vt:lpstr>
      <vt:lpstr>chart data</vt:lpstr>
      <vt:lpstr>Cleaned_Data!Extract</vt:lpstr>
      <vt:lpstr>'Raw Data'!Extract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Evangeline Christina</dc:creator>
  <cp:keywords/>
  <dc:description/>
  <cp:lastModifiedBy>Evangeline Christina</cp:lastModifiedBy>
  <cp:revision/>
  <dcterms:created xsi:type="dcterms:W3CDTF">2025-07-04T06:47:36Z</dcterms:created>
  <dcterms:modified xsi:type="dcterms:W3CDTF">2026-03-16T14:27:04Z</dcterms:modified>
  <cp:category/>
  <cp:contentStatus/>
</cp:coreProperties>
</file>